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A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0;($#,##0.00)"/>
    <numFmt numFmtId="166" formatCode="0.0%"/>
    <numFmt numFmtId="167" formatCode="#,##0.#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B7280"/>
      <sz val="9"/>
    </font>
    <font>
      <name val="Arial"/>
      <b val="1"/>
      <color rgb="001F2937"/>
      <sz val="10"/>
    </font>
    <font>
      <name val="Arial"/>
      <b val="1"/>
      <color rgb="00B07D04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E0A106"/>
      </patternFill>
    </fill>
    <fill>
      <patternFill patternType="solid">
        <fgColor rgb="00B07D04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7" fontId="6" fillId="4" borderId="1" pivotButton="0" quotePrefix="0" xfId="0"/>
    <xf numFmtId="164" fontId="6" fillId="4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pivotButton="0" quotePrefix="0" xfId="0"/>
    <xf numFmtId="166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ont>
        <color rgb="00C00000"/>
      </font>
    </dxf>
    <dxf>
      <font>
        <color rgb="001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IRA</author>
  </authors>
  <commentList>
    <comment ref="C8" authorId="0" shapeId="0">
      <text>
        <t>Avg cost per share (equities/funds). For CDs this is price per 100 par.</t>
      </text>
    </comment>
    <comment ref="D8" authorId="0" shapeId="0">
      <text>
        <t>Broker snapshot value. Used as market value for CDs/cash and as fallback if a live price is unavailable.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9" customWidth="1" min="9" max="9"/>
    <col width="11" customWidth="1" min="10" max="10"/>
    <col width="12" customWidth="1" min="11" max="11"/>
    <col width="9" customWidth="1" min="12" max="12"/>
    <col width="12" customWidth="1" min="13" max="13"/>
    <col width="9" customWidth="1" min="14" max="14"/>
    <col width="13" customWidth="1" min="15" max="15"/>
    <col width="14" customWidth="1" min="16" max="16"/>
    <col width="13" customWidth="1" min="17" max="17"/>
    <col width="10" customWidth="1" min="18" max="18"/>
    <col width="8" customWidth="1" min="19" max="19"/>
  </cols>
  <sheetData>
    <row r="1" ht="30" customHeight="1">
      <c r="A1" s="1" t="inlineStr">
        <is>
          <t>IRA Portfolio  —  Private</t>
        </is>
      </c>
    </row>
    <row r="2">
      <c r="A2" s="2" t="inlineStr">
        <is>
          <t>Live metrics auto-pull via STOCKHISTORY (Excel 365 required). Edit only the shaded broker columns A–D (Symbol, Quantity, Price Paid, Value) — paste a fresh export over them, then press F9 / Data ▸ Refresh All.</t>
        </is>
      </c>
    </row>
    <row r="3">
      <c r="A3" s="3" t="inlineStr">
        <is>
          <t>Total Market Value</t>
        </is>
      </c>
      <c r="C3" s="4">
        <f>SUM(P9:P48)</f>
        <v/>
      </c>
    </row>
    <row r="4">
      <c r="A4" s="3" t="inlineStr">
        <is>
          <t>Total Cost Basis</t>
        </is>
      </c>
      <c r="C4" s="4">
        <f>SUM(F9:F48)</f>
        <v/>
      </c>
    </row>
    <row r="5">
      <c r="A5" s="3" t="inlineStr">
        <is>
          <t>Total Gain / Loss</t>
        </is>
      </c>
      <c r="C5" s="5">
        <f>IF(SUM(F9:F48)=0,"",SUM(Q9:Q48))</f>
        <v/>
      </c>
      <c r="E5" s="3" t="inlineStr">
        <is>
          <t>Gain / Loss %</t>
        </is>
      </c>
      <c r="G5" s="6">
        <f>IFERROR(SUM(Q9:Q48)/SUM(F9:F48),"")</f>
        <v/>
      </c>
    </row>
    <row r="6">
      <c r="A6" s="3" t="inlineStr">
        <is>
          <t>Holdings</t>
        </is>
      </c>
      <c r="C6" s="7">
        <f>COUNTA(A9:A48)</f>
        <v/>
      </c>
    </row>
    <row r="8" ht="30" customHeight="1">
      <c r="A8" s="8" t="inlineStr">
        <is>
          <t>Symbol</t>
        </is>
      </c>
      <c r="B8" s="8" t="inlineStr">
        <is>
          <t>Quantity</t>
        </is>
      </c>
      <c r="C8" s="8" t="inlineStr">
        <is>
          <t>Price Paid $</t>
        </is>
      </c>
      <c r="D8" s="8" t="inlineStr">
        <is>
          <t>Value $ (import)</t>
        </is>
      </c>
      <c r="E8" s="8" t="inlineStr">
        <is>
          <t>Asset Type</t>
        </is>
      </c>
      <c r="F8" s="8" t="inlineStr">
        <is>
          <t>Cost Basis $</t>
        </is>
      </c>
      <c r="G8" s="8" t="inlineStr">
        <is>
          <t>Current Price ($)</t>
        </is>
      </c>
      <c r="H8" s="8" t="inlineStr">
        <is>
          <t>52-Wk High ($)</t>
        </is>
      </c>
      <c r="I8" s="8" t="inlineStr">
        <is>
          <t>% Off High</t>
        </is>
      </c>
      <c r="J8" s="8" t="inlineStr">
        <is>
          <t>Status</t>
        </is>
      </c>
      <c r="K8" s="8" t="inlineStr">
        <is>
          <t>200-Day SMA ($)</t>
        </is>
      </c>
      <c r="L8" s="8" t="inlineStr">
        <is>
          <t>% vs 200d</t>
        </is>
      </c>
      <c r="M8" s="8" t="inlineStr">
        <is>
          <t>50-Day SMA ($)</t>
        </is>
      </c>
      <c r="N8" s="8" t="inlineStr">
        <is>
          <t>% vs 50d</t>
        </is>
      </c>
      <c r="O8" s="8" t="inlineStr">
        <is>
          <t>Cross Signal</t>
        </is>
      </c>
      <c r="P8" s="8" t="inlineStr">
        <is>
          <t>Market Value ($)</t>
        </is>
      </c>
      <c r="Q8" s="8" t="inlineStr">
        <is>
          <t>Gain/Loss ($)</t>
        </is>
      </c>
      <c r="R8" s="8" t="inlineStr">
        <is>
          <t>Gain/Loss %</t>
        </is>
      </c>
      <c r="S8" s="8" t="inlineStr">
        <is>
          <t>Weight %</t>
        </is>
      </c>
    </row>
    <row r="9">
      <c r="A9" s="9" t="inlineStr">
        <is>
          <t>JEPQ</t>
        </is>
      </c>
      <c r="B9" s="10" t="n">
        <v>10</v>
      </c>
      <c r="C9" s="11" t="n">
        <v>59.2</v>
      </c>
      <c r="D9" s="11" t="n">
        <v>592</v>
      </c>
      <c r="E9" s="12">
        <f>IF($A9="","",IF(ISNUMBER(SEARCH("CD",$A9)),"CD",IF(UPPER($A9)="CASH","Cash",IF(AND(LEN($A9)=5,RIGHT(UPPER($A9),1)="X"),"Mutual Fund","Equity/ETF"))))</f>
        <v/>
      </c>
      <c r="F9" s="13">
        <f>IF($A9="","",IF($E9="CD",IFERROR($B9*$C9/100,""),IF(AND(ISNUMBER($B9),ISNUMBER($C9)),$B9*$C9,"")))</f>
        <v/>
      </c>
      <c r="G9" s="13">
        <f>IF(OR($A9="",NOT(OR($E9="Equity/ETF",$E9="Mutual Fund"))),"",IFERROR(INDEX(_xlfn.STOCKHISTORY($A9,TODAY()-7,TODAY(),0,0,0,1),ROWS(_xlfn.STOCKHISTORY($A9,TODAY()-7,TODAY(),0,0,0,1)),2),""))</f>
        <v/>
      </c>
      <c r="H9" s="13">
        <f>IF(OR($A9="",NOT(OR($E9="Equity/ETF",$E9="Mutual Fund"))),"",IFERROR(MAX(_xlfn.STOCKHISTORY($A9,TODAY()-365,TODAY(),0,0,3)),""))</f>
        <v/>
      </c>
      <c r="I9" s="14">
        <f>IF(OR($G9="",$H9=""),"",IFERROR(($G9-$H9)/$H9,""))</f>
        <v/>
      </c>
      <c r="J9" s="12">
        <f>IF($I9="","",IF($I9&lt;=-0.2,"Bear",IF($I9&lt;=-0.1,"Correction","Normal")))</f>
        <v/>
      </c>
      <c r="K9" s="13">
        <f>IF(OR($A9="",NOT(OR($E9="Equity/ETF",$E9="Mutual Fund"))),"",IFERROR(AVERAGE(_xlfn.STOCKHISTORY($A9,TODAY()-290,TODAY(),0,0,1)),""))</f>
        <v/>
      </c>
      <c r="L9" s="14">
        <f>IF(OR($G9="",$K9=""),"",IFERROR($G9/$K9-1,""))</f>
        <v/>
      </c>
      <c r="M9" s="13">
        <f>IF(OR($A9="",NOT(OR($E9="Equity/ETF",$E9="Mutual Fund"))),"",IFERROR(AVERAGE(_xlfn.STOCKHISTORY($A9,TODAY()-73,TODAY(),0,0,1)),""))</f>
        <v/>
      </c>
      <c r="N9" s="14">
        <f>IF(OR($G9="",$M9=""),"",IFERROR($G9/$M9-1,""))</f>
        <v/>
      </c>
      <c r="O9" s="12">
        <f>IF(OR($K9="",$M9=""),"",IF($M9&gt;=$K9,"Golden Cross","Death Cross"))</f>
        <v/>
      </c>
      <c r="P9" s="13">
        <f>IF($A9="","",IF(OR($E9="Equity/ETF",$E9="Mutual Fund"),IF(ISNUMBER($G9),$B9*$G9,$D9),$D9))</f>
        <v/>
      </c>
      <c r="Q9" s="15">
        <f>IF(OR($P9="",NOT(ISNUMBER($F9))),"",$P9-$F9)</f>
        <v/>
      </c>
      <c r="R9" s="14">
        <f>IF(OR($Q9="",NOT(ISNUMBER($F9)),$F9=0),"",$Q9/$F9)</f>
        <v/>
      </c>
      <c r="S9" s="14">
        <f>IF(OR($P9="",SUM($P$9:$P$48)=0),"",$P9/SUM($P$9:$P$48))</f>
        <v/>
      </c>
    </row>
    <row r="10">
      <c r="A10" s="9" t="inlineStr">
        <is>
          <t>SCHG</t>
        </is>
      </c>
      <c r="B10" s="10" t="n">
        <v>50</v>
      </c>
      <c r="C10" s="11" t="n">
        <v>33.9987</v>
      </c>
      <c r="D10" s="11" t="n">
        <v>1699.935</v>
      </c>
      <c r="E10" s="12">
        <f>IF($A10="","",IF(ISNUMBER(SEARCH("CD",$A10)),"CD",IF(UPPER($A10)="CASH","Cash",IF(AND(LEN($A10)=5,RIGHT(UPPER($A10),1)="X"),"Mutual Fund","Equity/ETF"))))</f>
        <v/>
      </c>
      <c r="F10" s="13">
        <f>IF($A10="","",IF($E10="CD",IFERROR($B10*$C10/100,""),IF(AND(ISNUMBER($B10),ISNUMBER($C10)),$B10*$C10,"")))</f>
        <v/>
      </c>
      <c r="G10" s="13">
        <f>IF(OR($A10="",NOT(OR($E10="Equity/ETF",$E10="Mutual Fund"))),"",IFERROR(INDEX(_xlfn.STOCKHISTORY($A10,TODAY()-7,TODAY(),0,0,0,1),ROWS(_xlfn.STOCKHISTORY($A10,TODAY()-7,TODAY(),0,0,0,1)),2),""))</f>
        <v/>
      </c>
      <c r="H10" s="13">
        <f>IF(OR($A10="",NOT(OR($E10="Equity/ETF",$E10="Mutual Fund"))),"",IFERROR(MAX(_xlfn.STOCKHISTORY($A10,TODAY()-365,TODAY(),0,0,3)),""))</f>
        <v/>
      </c>
      <c r="I10" s="14">
        <f>IF(OR($G10="",$H10=""),"",IFERROR(($G10-$H10)/$H10,""))</f>
        <v/>
      </c>
      <c r="J10" s="12">
        <f>IF($I10="","",IF($I10&lt;=-0.2,"Bear",IF($I10&lt;=-0.1,"Correction","Normal")))</f>
        <v/>
      </c>
      <c r="K10" s="13">
        <f>IF(OR($A10="",NOT(OR($E10="Equity/ETF",$E10="Mutual Fund"))),"",IFERROR(AVERAGE(_xlfn.STOCKHISTORY($A10,TODAY()-290,TODAY(),0,0,1)),""))</f>
        <v/>
      </c>
      <c r="L10" s="14">
        <f>IF(OR($G10="",$K10=""),"",IFERROR($G10/$K10-1,""))</f>
        <v/>
      </c>
      <c r="M10" s="13">
        <f>IF(OR($A10="",NOT(OR($E10="Equity/ETF",$E10="Mutual Fund"))),"",IFERROR(AVERAGE(_xlfn.STOCKHISTORY($A10,TODAY()-73,TODAY(),0,0,1)),""))</f>
        <v/>
      </c>
      <c r="N10" s="14">
        <f>IF(OR($G10="",$M10=""),"",IFERROR($G10/$M10-1,""))</f>
        <v/>
      </c>
      <c r="O10" s="12">
        <f>IF(OR($K10="",$M10=""),"",IF($M10&gt;=$K10,"Golden Cross","Death Cross"))</f>
        <v/>
      </c>
      <c r="P10" s="13">
        <f>IF($A10="","",IF(OR($E10="Equity/ETF",$E10="Mutual Fund"),IF(ISNUMBER($G10),$B10*$G10,$D10),$D10))</f>
        <v/>
      </c>
      <c r="Q10" s="15">
        <f>IF(OR($P10="",NOT(ISNUMBER($F10))),"",$P10-$F10)</f>
        <v/>
      </c>
      <c r="R10" s="14">
        <f>IF(OR($Q10="",NOT(ISNUMBER($F10)),$F10=0),"",$Q10/$F10)</f>
        <v/>
      </c>
      <c r="S10" s="14">
        <f>IF(OR($P10="",SUM($P$9:$P$48)=0),"",$P10/SUM($P$9:$P$48))</f>
        <v/>
      </c>
    </row>
    <row r="11">
      <c r="A11" s="9" t="inlineStr">
        <is>
          <t>VXUS</t>
        </is>
      </c>
      <c r="B11" s="10" t="n">
        <v>100</v>
      </c>
      <c r="C11" s="11" t="n">
        <v>85.226</v>
      </c>
      <c r="D11" s="11" t="n">
        <v>8522.6</v>
      </c>
      <c r="E11" s="12">
        <f>IF($A11="","",IF(ISNUMBER(SEARCH("CD",$A11)),"CD",IF(UPPER($A11)="CASH","Cash",IF(AND(LEN($A11)=5,RIGHT(UPPER($A11),1)="X"),"Mutual Fund","Equity/ETF"))))</f>
        <v/>
      </c>
      <c r="F11" s="13">
        <f>IF($A11="","",IF($E11="CD",IFERROR($B11*$C11/100,""),IF(AND(ISNUMBER($B11),ISNUMBER($C11)),$B11*$C11,"")))</f>
        <v/>
      </c>
      <c r="G11" s="13">
        <f>IF(OR($A11="",NOT(OR($E11="Equity/ETF",$E11="Mutual Fund"))),"",IFERROR(INDEX(_xlfn.STOCKHISTORY($A11,TODAY()-7,TODAY(),0,0,0,1),ROWS(_xlfn.STOCKHISTORY($A11,TODAY()-7,TODAY(),0,0,0,1)),2),""))</f>
        <v/>
      </c>
      <c r="H11" s="13">
        <f>IF(OR($A11="",NOT(OR($E11="Equity/ETF",$E11="Mutual Fund"))),"",IFERROR(MAX(_xlfn.STOCKHISTORY($A11,TODAY()-365,TODAY(),0,0,3)),""))</f>
        <v/>
      </c>
      <c r="I11" s="14">
        <f>IF(OR($G11="",$H11=""),"",IFERROR(($G11-$H11)/$H11,""))</f>
        <v/>
      </c>
      <c r="J11" s="12">
        <f>IF($I11="","",IF($I11&lt;=-0.2,"Bear",IF($I11&lt;=-0.1,"Correction","Normal")))</f>
        <v/>
      </c>
      <c r="K11" s="13">
        <f>IF(OR($A11="",NOT(OR($E11="Equity/ETF",$E11="Mutual Fund"))),"",IFERROR(AVERAGE(_xlfn.STOCKHISTORY($A11,TODAY()-290,TODAY(),0,0,1)),""))</f>
        <v/>
      </c>
      <c r="L11" s="14">
        <f>IF(OR($G11="",$K11=""),"",IFERROR($G11/$K11-1,""))</f>
        <v/>
      </c>
      <c r="M11" s="13">
        <f>IF(OR($A11="",NOT(OR($E11="Equity/ETF",$E11="Mutual Fund"))),"",IFERROR(AVERAGE(_xlfn.STOCKHISTORY($A11,TODAY()-73,TODAY(),0,0,1)),""))</f>
        <v/>
      </c>
      <c r="N11" s="14">
        <f>IF(OR($G11="",$M11=""),"",IFERROR($G11/$M11-1,""))</f>
        <v/>
      </c>
      <c r="O11" s="12">
        <f>IF(OR($K11="",$M11=""),"",IF($M11&gt;=$K11,"Golden Cross","Death Cross"))</f>
        <v/>
      </c>
      <c r="P11" s="13">
        <f>IF($A11="","",IF(OR($E11="Equity/ETF",$E11="Mutual Fund"),IF(ISNUMBER($G11),$B11*$G11,$D11),$D11))</f>
        <v/>
      </c>
      <c r="Q11" s="15">
        <f>IF(OR($P11="",NOT(ISNUMBER($F11))),"",$P11-$F11)</f>
        <v/>
      </c>
      <c r="R11" s="14">
        <f>IF(OR($Q11="",NOT(ISNUMBER($F11)),$F11=0),"",$Q11/$F11)</f>
        <v/>
      </c>
      <c r="S11" s="14">
        <f>IF(OR($P11="",SUM($P$9:$P$48)=0),"",$P11/SUM($P$9:$P$48))</f>
        <v/>
      </c>
    </row>
    <row r="12">
      <c r="A12" s="9" t="inlineStr">
        <is>
          <t>CASH</t>
        </is>
      </c>
      <c r="B12" s="10" t="n"/>
      <c r="C12" s="11" t="n"/>
      <c r="D12" s="11" t="n">
        <v>2000</v>
      </c>
      <c r="E12" s="12">
        <f>IF($A12="","",IF(ISNUMBER(SEARCH("CD",$A12)),"CD",IF(UPPER($A12)="CASH","Cash",IF(AND(LEN($A12)=5,RIGHT(UPPER($A12),1)="X"),"Mutual Fund","Equity/ETF"))))</f>
        <v/>
      </c>
      <c r="F12" s="13">
        <f>IF($A12="","",IF($E12="CD",IFERROR($B12*$C12/100,""),IF(AND(ISNUMBER($B12),ISNUMBER($C12)),$B12*$C12,"")))</f>
        <v/>
      </c>
      <c r="G12" s="13">
        <f>IF(OR($A12="",NOT(OR($E12="Equity/ETF",$E12="Mutual Fund"))),"",IFERROR(INDEX(_xlfn.STOCKHISTORY($A12,TODAY()-7,TODAY(),0,0,0,1),ROWS(_xlfn.STOCKHISTORY($A12,TODAY()-7,TODAY(),0,0,0,1)),2),""))</f>
        <v/>
      </c>
      <c r="H12" s="13">
        <f>IF(OR($A12="",NOT(OR($E12="Equity/ETF",$E12="Mutual Fund"))),"",IFERROR(MAX(_xlfn.STOCKHISTORY($A12,TODAY()-365,TODAY(),0,0,3)),""))</f>
        <v/>
      </c>
      <c r="I12" s="14">
        <f>IF(OR($G12="",$H12=""),"",IFERROR(($G12-$H12)/$H12,""))</f>
        <v/>
      </c>
      <c r="J12" s="12">
        <f>IF($I12="","",IF($I12&lt;=-0.2,"Bear",IF($I12&lt;=-0.1,"Correction","Normal")))</f>
        <v/>
      </c>
      <c r="K12" s="13">
        <f>IF(OR($A12="",NOT(OR($E12="Equity/ETF",$E12="Mutual Fund"))),"",IFERROR(AVERAGE(_xlfn.STOCKHISTORY($A12,TODAY()-290,TODAY(),0,0,1)),""))</f>
        <v/>
      </c>
      <c r="L12" s="14">
        <f>IF(OR($G12="",$K12=""),"",IFERROR($G12/$K12-1,""))</f>
        <v/>
      </c>
      <c r="M12" s="13">
        <f>IF(OR($A12="",NOT(OR($E12="Equity/ETF",$E12="Mutual Fund"))),"",IFERROR(AVERAGE(_xlfn.STOCKHISTORY($A12,TODAY()-73,TODAY(),0,0,1)),""))</f>
        <v/>
      </c>
      <c r="N12" s="14">
        <f>IF(OR($G12="",$M12=""),"",IFERROR($G12/$M12-1,""))</f>
        <v/>
      </c>
      <c r="O12" s="12">
        <f>IF(OR($K12="",$M12=""),"",IF($M12&gt;=$K12,"Golden Cross","Death Cross"))</f>
        <v/>
      </c>
      <c r="P12" s="13">
        <f>IF($A12="","",IF(OR($E12="Equity/ETF",$E12="Mutual Fund"),IF(ISNUMBER($G12),$B12*$G12,$D12),$D12))</f>
        <v/>
      </c>
      <c r="Q12" s="15">
        <f>IF(OR($P12="",NOT(ISNUMBER($F12))),"",$P12-$F12)</f>
        <v/>
      </c>
      <c r="R12" s="14">
        <f>IF(OR($Q12="",NOT(ISNUMBER($F12)),$F12=0),"",$Q12/$F12)</f>
        <v/>
      </c>
      <c r="S12" s="14">
        <f>IF(OR($P12="",SUM($P$9:$P$48)=0),"",$P12/SUM($P$9:$P$48))</f>
        <v/>
      </c>
    </row>
    <row r="13">
      <c r="A13" s="9" t="inlineStr">
        <is>
          <t>TOTAL</t>
        </is>
      </c>
      <c r="B13" s="10" t="n"/>
      <c r="C13" s="11" t="n"/>
      <c r="D13" s="11" t="n">
        <v>12814.535</v>
      </c>
      <c r="E13" s="12">
        <f>IF($A13="","",IF(ISNUMBER(SEARCH("CD",$A13)),"CD",IF(UPPER($A13)="CASH","Cash",IF(AND(LEN($A13)=5,RIGHT(UPPER($A13),1)="X"),"Mutual Fund","Equity/ETF"))))</f>
        <v/>
      </c>
      <c r="F13" s="13">
        <f>IF($A13="","",IF($E13="CD",IFERROR($B13*$C13/100,""),IF(AND(ISNUMBER($B13),ISNUMBER($C13)),$B13*$C13,"")))</f>
        <v/>
      </c>
      <c r="G13" s="13">
        <f>IF(OR($A13="",NOT(OR($E13="Equity/ETF",$E13="Mutual Fund"))),"",IFERROR(INDEX(_xlfn.STOCKHISTORY($A13,TODAY()-7,TODAY(),0,0,0,1),ROWS(_xlfn.STOCKHISTORY($A13,TODAY()-7,TODAY(),0,0,0,1)),2),""))</f>
        <v/>
      </c>
      <c r="H13" s="13">
        <f>IF(OR($A13="",NOT(OR($E13="Equity/ETF",$E13="Mutual Fund"))),"",IFERROR(MAX(_xlfn.STOCKHISTORY($A13,TODAY()-365,TODAY(),0,0,3)),""))</f>
        <v/>
      </c>
      <c r="I13" s="14">
        <f>IF(OR($G13="",$H13=""),"",IFERROR(($G13-$H13)/$H13,""))</f>
        <v/>
      </c>
      <c r="J13" s="12">
        <f>IF($I13="","",IF($I13&lt;=-0.2,"Bear",IF($I13&lt;=-0.1,"Correction","Normal")))</f>
        <v/>
      </c>
      <c r="K13" s="13">
        <f>IF(OR($A13="",NOT(OR($E13="Equity/ETF",$E13="Mutual Fund"))),"",IFERROR(AVERAGE(_xlfn.STOCKHISTORY($A13,TODAY()-290,TODAY(),0,0,1)),""))</f>
        <v/>
      </c>
      <c r="L13" s="14">
        <f>IF(OR($G13="",$K13=""),"",IFERROR($G13/$K13-1,""))</f>
        <v/>
      </c>
      <c r="M13" s="13">
        <f>IF(OR($A13="",NOT(OR($E13="Equity/ETF",$E13="Mutual Fund"))),"",IFERROR(AVERAGE(_xlfn.STOCKHISTORY($A13,TODAY()-73,TODAY(),0,0,1)),""))</f>
        <v/>
      </c>
      <c r="N13" s="14">
        <f>IF(OR($G13="",$M13=""),"",IFERROR($G13/$M13-1,""))</f>
        <v/>
      </c>
      <c r="O13" s="12">
        <f>IF(OR($K13="",$M13=""),"",IF($M13&gt;=$K13,"Golden Cross","Death Cross"))</f>
        <v/>
      </c>
      <c r="P13" s="13">
        <f>IF($A13="","",IF(OR($E13="Equity/ETF",$E13="Mutual Fund"),IF(ISNUMBER($G13),$B13*$G13,$D13),$D13))</f>
        <v/>
      </c>
      <c r="Q13" s="15">
        <f>IF(OR($P13="",NOT(ISNUMBER($F13))),"",$P13-$F13)</f>
        <v/>
      </c>
      <c r="R13" s="14">
        <f>IF(OR($Q13="",NOT(ISNUMBER($F13)),$F13=0),"",$Q13/$F13)</f>
        <v/>
      </c>
      <c r="S13" s="14">
        <f>IF(OR($P13="",SUM($P$9:$P$48)=0),"",$P13/SUM($P$9:$P$48))</f>
        <v/>
      </c>
    </row>
    <row r="14">
      <c r="A14" s="9" t="n"/>
      <c r="B14" s="10" t="n"/>
      <c r="C14" s="11" t="n"/>
      <c r="D14" s="11" t="n"/>
      <c r="E14" s="12">
        <f>IF($A14="","",IF(ISNUMBER(SEARCH("CD",$A14)),"CD",IF(UPPER($A14)="CASH","Cash",IF(AND(LEN($A14)=5,RIGHT(UPPER($A14),1)="X"),"Mutual Fund","Equity/ETF"))))</f>
        <v/>
      </c>
      <c r="F14" s="13">
        <f>IF($A14="","",IF($E14="CD",IFERROR($B14*$C14/100,""),IF(AND(ISNUMBER($B14),ISNUMBER($C14)),$B14*$C14,"")))</f>
        <v/>
      </c>
      <c r="G14" s="13">
        <f>IF(OR($A14="",NOT(OR($E14="Equity/ETF",$E14="Mutual Fund"))),"",IFERROR(INDEX(_xlfn.STOCKHISTORY($A14,TODAY()-7,TODAY(),0,0,0,1),ROWS(_xlfn.STOCKHISTORY($A14,TODAY()-7,TODAY(),0,0,0,1)),2),""))</f>
        <v/>
      </c>
      <c r="H14" s="13">
        <f>IF(OR($A14="",NOT(OR($E14="Equity/ETF",$E14="Mutual Fund"))),"",IFERROR(MAX(_xlfn.STOCKHISTORY($A14,TODAY()-365,TODAY(),0,0,3)),""))</f>
        <v/>
      </c>
      <c r="I14" s="14">
        <f>IF(OR($G14="",$H14=""),"",IFERROR(($G14-$H14)/$H14,""))</f>
        <v/>
      </c>
      <c r="J14" s="12">
        <f>IF($I14="","",IF($I14&lt;=-0.2,"Bear",IF($I14&lt;=-0.1,"Correction","Normal")))</f>
        <v/>
      </c>
      <c r="K14" s="13">
        <f>IF(OR($A14="",NOT(OR($E14="Equity/ETF",$E14="Mutual Fund"))),"",IFERROR(AVERAGE(_xlfn.STOCKHISTORY($A14,TODAY()-290,TODAY(),0,0,1)),""))</f>
        <v/>
      </c>
      <c r="L14" s="14">
        <f>IF(OR($G14="",$K14=""),"",IFERROR($G14/$K14-1,""))</f>
        <v/>
      </c>
      <c r="M14" s="13">
        <f>IF(OR($A14="",NOT(OR($E14="Equity/ETF",$E14="Mutual Fund"))),"",IFERROR(AVERAGE(_xlfn.STOCKHISTORY($A14,TODAY()-73,TODAY(),0,0,1)),""))</f>
        <v/>
      </c>
      <c r="N14" s="14">
        <f>IF(OR($G14="",$M14=""),"",IFERROR($G14/$M14-1,""))</f>
        <v/>
      </c>
      <c r="O14" s="12">
        <f>IF(OR($K14="",$M14=""),"",IF($M14&gt;=$K14,"Golden Cross","Death Cross"))</f>
        <v/>
      </c>
      <c r="P14" s="13">
        <f>IF($A14="","",IF(OR($E14="Equity/ETF",$E14="Mutual Fund"),IF(ISNUMBER($G14),$B14*$G14,$D14),$D14))</f>
        <v/>
      </c>
      <c r="Q14" s="15">
        <f>IF(OR($P14="",NOT(ISNUMBER($F14))),"",$P14-$F14)</f>
        <v/>
      </c>
      <c r="R14" s="14">
        <f>IF(OR($Q14="",NOT(ISNUMBER($F14)),$F14=0),"",$Q14/$F14)</f>
        <v/>
      </c>
      <c r="S14" s="14">
        <f>IF(OR($P14="",SUM($P$9:$P$48)=0),"",$P14/SUM($P$9:$P$48))</f>
        <v/>
      </c>
    </row>
    <row r="15">
      <c r="A15" s="9" t="n"/>
      <c r="B15" s="10" t="n"/>
      <c r="C15" s="11" t="n"/>
      <c r="D15" s="11" t="n"/>
      <c r="E15" s="12">
        <f>IF($A15="","",IF(ISNUMBER(SEARCH("CD",$A15)),"CD",IF(UPPER($A15)="CASH","Cash",IF(AND(LEN($A15)=5,RIGHT(UPPER($A15),1)="X"),"Mutual Fund","Equity/ETF"))))</f>
        <v/>
      </c>
      <c r="F15" s="13">
        <f>IF($A15="","",IF($E15="CD",IFERROR($B15*$C15/100,""),IF(AND(ISNUMBER($B15),ISNUMBER($C15)),$B15*$C15,"")))</f>
        <v/>
      </c>
      <c r="G15" s="13">
        <f>IF(OR($A15="",NOT(OR($E15="Equity/ETF",$E15="Mutual Fund"))),"",IFERROR(INDEX(_xlfn.STOCKHISTORY($A15,TODAY()-7,TODAY(),0,0,0,1),ROWS(_xlfn.STOCKHISTORY($A15,TODAY()-7,TODAY(),0,0,0,1)),2),""))</f>
        <v/>
      </c>
      <c r="H15" s="13">
        <f>IF(OR($A15="",NOT(OR($E15="Equity/ETF",$E15="Mutual Fund"))),"",IFERROR(MAX(_xlfn.STOCKHISTORY($A15,TODAY()-365,TODAY(),0,0,3)),""))</f>
        <v/>
      </c>
      <c r="I15" s="14">
        <f>IF(OR($G15="",$H15=""),"",IFERROR(($G15-$H15)/$H15,""))</f>
        <v/>
      </c>
      <c r="J15" s="12">
        <f>IF($I15="","",IF($I15&lt;=-0.2,"Bear",IF($I15&lt;=-0.1,"Correction","Normal")))</f>
        <v/>
      </c>
      <c r="K15" s="13">
        <f>IF(OR($A15="",NOT(OR($E15="Equity/ETF",$E15="Mutual Fund"))),"",IFERROR(AVERAGE(_xlfn.STOCKHISTORY($A15,TODAY()-290,TODAY(),0,0,1)),""))</f>
        <v/>
      </c>
      <c r="L15" s="14">
        <f>IF(OR($G15="",$K15=""),"",IFERROR($G15/$K15-1,""))</f>
        <v/>
      </c>
      <c r="M15" s="13">
        <f>IF(OR($A15="",NOT(OR($E15="Equity/ETF",$E15="Mutual Fund"))),"",IFERROR(AVERAGE(_xlfn.STOCKHISTORY($A15,TODAY()-73,TODAY(),0,0,1)),""))</f>
        <v/>
      </c>
      <c r="N15" s="14">
        <f>IF(OR($G15="",$M15=""),"",IFERROR($G15/$M15-1,""))</f>
        <v/>
      </c>
      <c r="O15" s="12">
        <f>IF(OR($K15="",$M15=""),"",IF($M15&gt;=$K15,"Golden Cross","Death Cross"))</f>
        <v/>
      </c>
      <c r="P15" s="13">
        <f>IF($A15="","",IF(OR($E15="Equity/ETF",$E15="Mutual Fund"),IF(ISNUMBER($G15),$B15*$G15,$D15),$D15))</f>
        <v/>
      </c>
      <c r="Q15" s="15">
        <f>IF(OR($P15="",NOT(ISNUMBER($F15))),"",$P15-$F15)</f>
        <v/>
      </c>
      <c r="R15" s="14">
        <f>IF(OR($Q15="",NOT(ISNUMBER($F15)),$F15=0),"",$Q15/$F15)</f>
        <v/>
      </c>
      <c r="S15" s="14">
        <f>IF(OR($P15="",SUM($P$9:$P$48)=0),"",$P15/SUM($P$9:$P$48))</f>
        <v/>
      </c>
    </row>
    <row r="16">
      <c r="A16" s="9" t="n"/>
      <c r="B16" s="10" t="n"/>
      <c r="C16" s="11" t="n"/>
      <c r="D16" s="11" t="n"/>
      <c r="E16" s="12">
        <f>IF($A16="","",IF(ISNUMBER(SEARCH("CD",$A16)),"CD",IF(UPPER($A16)="CASH","Cash",IF(AND(LEN($A16)=5,RIGHT(UPPER($A16),1)="X"),"Mutual Fund","Equity/ETF"))))</f>
        <v/>
      </c>
      <c r="F16" s="13">
        <f>IF($A16="","",IF($E16="CD",IFERROR($B16*$C16/100,""),IF(AND(ISNUMBER($B16),ISNUMBER($C16)),$B16*$C16,"")))</f>
        <v/>
      </c>
      <c r="G16" s="13">
        <f>IF(OR($A16="",NOT(OR($E16="Equity/ETF",$E16="Mutual Fund"))),"",IFERROR(INDEX(_xlfn.STOCKHISTORY($A16,TODAY()-7,TODAY(),0,0,0,1),ROWS(_xlfn.STOCKHISTORY($A16,TODAY()-7,TODAY(),0,0,0,1)),2),""))</f>
        <v/>
      </c>
      <c r="H16" s="13">
        <f>IF(OR($A16="",NOT(OR($E16="Equity/ETF",$E16="Mutual Fund"))),"",IFERROR(MAX(_xlfn.STOCKHISTORY($A16,TODAY()-365,TODAY(),0,0,3)),""))</f>
        <v/>
      </c>
      <c r="I16" s="14">
        <f>IF(OR($G16="",$H16=""),"",IFERROR(($G16-$H16)/$H16,""))</f>
        <v/>
      </c>
      <c r="J16" s="12">
        <f>IF($I16="","",IF($I16&lt;=-0.2,"Bear",IF($I16&lt;=-0.1,"Correction","Normal")))</f>
        <v/>
      </c>
      <c r="K16" s="13">
        <f>IF(OR($A16="",NOT(OR($E16="Equity/ETF",$E16="Mutual Fund"))),"",IFERROR(AVERAGE(_xlfn.STOCKHISTORY($A16,TODAY()-290,TODAY(),0,0,1)),""))</f>
        <v/>
      </c>
      <c r="L16" s="14">
        <f>IF(OR($G16="",$K16=""),"",IFERROR($G16/$K16-1,""))</f>
        <v/>
      </c>
      <c r="M16" s="13">
        <f>IF(OR($A16="",NOT(OR($E16="Equity/ETF",$E16="Mutual Fund"))),"",IFERROR(AVERAGE(_xlfn.STOCKHISTORY($A16,TODAY()-73,TODAY(),0,0,1)),""))</f>
        <v/>
      </c>
      <c r="N16" s="14">
        <f>IF(OR($G16="",$M16=""),"",IFERROR($G16/$M16-1,""))</f>
        <v/>
      </c>
      <c r="O16" s="12">
        <f>IF(OR($K16="",$M16=""),"",IF($M16&gt;=$K16,"Golden Cross","Death Cross"))</f>
        <v/>
      </c>
      <c r="P16" s="13">
        <f>IF($A16="","",IF(OR($E16="Equity/ETF",$E16="Mutual Fund"),IF(ISNUMBER($G16),$B16*$G16,$D16),$D16))</f>
        <v/>
      </c>
      <c r="Q16" s="15">
        <f>IF(OR($P16="",NOT(ISNUMBER($F16))),"",$P16-$F16)</f>
        <v/>
      </c>
      <c r="R16" s="14">
        <f>IF(OR($Q16="",NOT(ISNUMBER($F16)),$F16=0),"",$Q16/$F16)</f>
        <v/>
      </c>
      <c r="S16" s="14">
        <f>IF(OR($P16="",SUM($P$9:$P$48)=0),"",$P16/SUM($P$9:$P$48))</f>
        <v/>
      </c>
    </row>
    <row r="17">
      <c r="A17" s="9" t="n"/>
      <c r="B17" s="10" t="n"/>
      <c r="C17" s="11" t="n"/>
      <c r="D17" s="11" t="n"/>
      <c r="E17" s="12">
        <f>IF($A17="","",IF(ISNUMBER(SEARCH("CD",$A17)),"CD",IF(UPPER($A17)="CASH","Cash",IF(AND(LEN($A17)=5,RIGHT(UPPER($A17),1)="X"),"Mutual Fund","Equity/ETF"))))</f>
        <v/>
      </c>
      <c r="F17" s="13">
        <f>IF($A17="","",IF($E17="CD",IFERROR($B17*$C17/100,""),IF(AND(ISNUMBER($B17),ISNUMBER($C17)),$B17*$C17,"")))</f>
        <v/>
      </c>
      <c r="G17" s="13">
        <f>IF(OR($A17="",NOT(OR($E17="Equity/ETF",$E17="Mutual Fund"))),"",IFERROR(INDEX(_xlfn.STOCKHISTORY($A17,TODAY()-7,TODAY(),0,0,0,1),ROWS(_xlfn.STOCKHISTORY($A17,TODAY()-7,TODAY(),0,0,0,1)),2),""))</f>
        <v/>
      </c>
      <c r="H17" s="13">
        <f>IF(OR($A17="",NOT(OR($E17="Equity/ETF",$E17="Mutual Fund"))),"",IFERROR(MAX(_xlfn.STOCKHISTORY($A17,TODAY()-365,TODAY(),0,0,3)),""))</f>
        <v/>
      </c>
      <c r="I17" s="14">
        <f>IF(OR($G17="",$H17=""),"",IFERROR(($G17-$H17)/$H17,""))</f>
        <v/>
      </c>
      <c r="J17" s="12">
        <f>IF($I17="","",IF($I17&lt;=-0.2,"Bear",IF($I17&lt;=-0.1,"Correction","Normal")))</f>
        <v/>
      </c>
      <c r="K17" s="13">
        <f>IF(OR($A17="",NOT(OR($E17="Equity/ETF",$E17="Mutual Fund"))),"",IFERROR(AVERAGE(_xlfn.STOCKHISTORY($A17,TODAY()-290,TODAY(),0,0,1)),""))</f>
        <v/>
      </c>
      <c r="L17" s="14">
        <f>IF(OR($G17="",$K17=""),"",IFERROR($G17/$K17-1,""))</f>
        <v/>
      </c>
      <c r="M17" s="13">
        <f>IF(OR($A17="",NOT(OR($E17="Equity/ETF",$E17="Mutual Fund"))),"",IFERROR(AVERAGE(_xlfn.STOCKHISTORY($A17,TODAY()-73,TODAY(),0,0,1)),""))</f>
        <v/>
      </c>
      <c r="N17" s="14">
        <f>IF(OR($G17="",$M17=""),"",IFERROR($G17/$M17-1,""))</f>
        <v/>
      </c>
      <c r="O17" s="12">
        <f>IF(OR($K17="",$M17=""),"",IF($M17&gt;=$K17,"Golden Cross","Death Cross"))</f>
        <v/>
      </c>
      <c r="P17" s="13">
        <f>IF($A17="","",IF(OR($E17="Equity/ETF",$E17="Mutual Fund"),IF(ISNUMBER($G17),$B17*$G17,$D17),$D17))</f>
        <v/>
      </c>
      <c r="Q17" s="15">
        <f>IF(OR($P17="",NOT(ISNUMBER($F17))),"",$P17-$F17)</f>
        <v/>
      </c>
      <c r="R17" s="14">
        <f>IF(OR($Q17="",NOT(ISNUMBER($F17)),$F17=0),"",$Q17/$F17)</f>
        <v/>
      </c>
      <c r="S17" s="14">
        <f>IF(OR($P17="",SUM($P$9:$P$48)=0),"",$P17/SUM($P$9:$P$48))</f>
        <v/>
      </c>
    </row>
    <row r="18">
      <c r="A18" s="9" t="n"/>
      <c r="B18" s="10" t="n"/>
      <c r="C18" s="11" t="n"/>
      <c r="D18" s="11" t="n"/>
      <c r="E18" s="12">
        <f>IF($A18="","",IF(ISNUMBER(SEARCH("CD",$A18)),"CD",IF(UPPER($A18)="CASH","Cash",IF(AND(LEN($A18)=5,RIGHT(UPPER($A18),1)="X"),"Mutual Fund","Equity/ETF"))))</f>
        <v/>
      </c>
      <c r="F18" s="13">
        <f>IF($A18="","",IF($E18="CD",IFERROR($B18*$C18/100,""),IF(AND(ISNUMBER($B18),ISNUMBER($C18)),$B18*$C18,"")))</f>
        <v/>
      </c>
      <c r="G18" s="13">
        <f>IF(OR($A18="",NOT(OR($E18="Equity/ETF",$E18="Mutual Fund"))),"",IFERROR(INDEX(_xlfn.STOCKHISTORY($A18,TODAY()-7,TODAY(),0,0,0,1),ROWS(_xlfn.STOCKHISTORY($A18,TODAY()-7,TODAY(),0,0,0,1)),2),""))</f>
        <v/>
      </c>
      <c r="H18" s="13">
        <f>IF(OR($A18="",NOT(OR($E18="Equity/ETF",$E18="Mutual Fund"))),"",IFERROR(MAX(_xlfn.STOCKHISTORY($A18,TODAY()-365,TODAY(),0,0,3)),""))</f>
        <v/>
      </c>
      <c r="I18" s="14">
        <f>IF(OR($G18="",$H18=""),"",IFERROR(($G18-$H18)/$H18,""))</f>
        <v/>
      </c>
      <c r="J18" s="12">
        <f>IF($I18="","",IF($I18&lt;=-0.2,"Bear",IF($I18&lt;=-0.1,"Correction","Normal")))</f>
        <v/>
      </c>
      <c r="K18" s="13">
        <f>IF(OR($A18="",NOT(OR($E18="Equity/ETF",$E18="Mutual Fund"))),"",IFERROR(AVERAGE(_xlfn.STOCKHISTORY($A18,TODAY()-290,TODAY(),0,0,1)),""))</f>
        <v/>
      </c>
      <c r="L18" s="14">
        <f>IF(OR($G18="",$K18=""),"",IFERROR($G18/$K18-1,""))</f>
        <v/>
      </c>
      <c r="M18" s="13">
        <f>IF(OR($A18="",NOT(OR($E18="Equity/ETF",$E18="Mutual Fund"))),"",IFERROR(AVERAGE(_xlfn.STOCKHISTORY($A18,TODAY()-73,TODAY(),0,0,1)),""))</f>
        <v/>
      </c>
      <c r="N18" s="14">
        <f>IF(OR($G18="",$M18=""),"",IFERROR($G18/$M18-1,""))</f>
        <v/>
      </c>
      <c r="O18" s="12">
        <f>IF(OR($K18="",$M18=""),"",IF($M18&gt;=$K18,"Golden Cross","Death Cross"))</f>
        <v/>
      </c>
      <c r="P18" s="13">
        <f>IF($A18="","",IF(OR($E18="Equity/ETF",$E18="Mutual Fund"),IF(ISNUMBER($G18),$B18*$G18,$D18),$D18))</f>
        <v/>
      </c>
      <c r="Q18" s="15">
        <f>IF(OR($P18="",NOT(ISNUMBER($F18))),"",$P18-$F18)</f>
        <v/>
      </c>
      <c r="R18" s="14">
        <f>IF(OR($Q18="",NOT(ISNUMBER($F18)),$F18=0),"",$Q18/$F18)</f>
        <v/>
      </c>
      <c r="S18" s="14">
        <f>IF(OR($P18="",SUM($P$9:$P$48)=0),"",$P18/SUM($P$9:$P$48))</f>
        <v/>
      </c>
    </row>
    <row r="19">
      <c r="A19" s="9" t="n"/>
      <c r="B19" s="10" t="n"/>
      <c r="C19" s="11" t="n"/>
      <c r="D19" s="11" t="n"/>
      <c r="E19" s="12">
        <f>IF($A19="","",IF(ISNUMBER(SEARCH("CD",$A19)),"CD",IF(UPPER($A19)="CASH","Cash",IF(AND(LEN($A19)=5,RIGHT(UPPER($A19),1)="X"),"Mutual Fund","Equity/ETF"))))</f>
        <v/>
      </c>
      <c r="F19" s="13">
        <f>IF($A19="","",IF($E19="CD",IFERROR($B19*$C19/100,""),IF(AND(ISNUMBER($B19),ISNUMBER($C19)),$B19*$C19,"")))</f>
        <v/>
      </c>
      <c r="G19" s="13">
        <f>IF(OR($A19="",NOT(OR($E19="Equity/ETF",$E19="Mutual Fund"))),"",IFERROR(INDEX(_xlfn.STOCKHISTORY($A19,TODAY()-7,TODAY(),0,0,0,1),ROWS(_xlfn.STOCKHISTORY($A19,TODAY()-7,TODAY(),0,0,0,1)),2),""))</f>
        <v/>
      </c>
      <c r="H19" s="13">
        <f>IF(OR($A19="",NOT(OR($E19="Equity/ETF",$E19="Mutual Fund"))),"",IFERROR(MAX(_xlfn.STOCKHISTORY($A19,TODAY()-365,TODAY(),0,0,3)),""))</f>
        <v/>
      </c>
      <c r="I19" s="14">
        <f>IF(OR($G19="",$H19=""),"",IFERROR(($G19-$H19)/$H19,""))</f>
        <v/>
      </c>
      <c r="J19" s="12">
        <f>IF($I19="","",IF($I19&lt;=-0.2,"Bear",IF($I19&lt;=-0.1,"Correction","Normal")))</f>
        <v/>
      </c>
      <c r="K19" s="13">
        <f>IF(OR($A19="",NOT(OR($E19="Equity/ETF",$E19="Mutual Fund"))),"",IFERROR(AVERAGE(_xlfn.STOCKHISTORY($A19,TODAY()-290,TODAY(),0,0,1)),""))</f>
        <v/>
      </c>
      <c r="L19" s="14">
        <f>IF(OR($G19="",$K19=""),"",IFERROR($G19/$K19-1,""))</f>
        <v/>
      </c>
      <c r="M19" s="13">
        <f>IF(OR($A19="",NOT(OR($E19="Equity/ETF",$E19="Mutual Fund"))),"",IFERROR(AVERAGE(_xlfn.STOCKHISTORY($A19,TODAY()-73,TODAY(),0,0,1)),""))</f>
        <v/>
      </c>
      <c r="N19" s="14">
        <f>IF(OR($G19="",$M19=""),"",IFERROR($G19/$M19-1,""))</f>
        <v/>
      </c>
      <c r="O19" s="12">
        <f>IF(OR($K19="",$M19=""),"",IF($M19&gt;=$K19,"Golden Cross","Death Cross"))</f>
        <v/>
      </c>
      <c r="P19" s="13">
        <f>IF($A19="","",IF(OR($E19="Equity/ETF",$E19="Mutual Fund"),IF(ISNUMBER($G19),$B19*$G19,$D19),$D19))</f>
        <v/>
      </c>
      <c r="Q19" s="15">
        <f>IF(OR($P19="",NOT(ISNUMBER($F19))),"",$P19-$F19)</f>
        <v/>
      </c>
      <c r="R19" s="14">
        <f>IF(OR($Q19="",NOT(ISNUMBER($F19)),$F19=0),"",$Q19/$F19)</f>
        <v/>
      </c>
      <c r="S19" s="14">
        <f>IF(OR($P19="",SUM($P$9:$P$48)=0),"",$P19/SUM($P$9:$P$48))</f>
        <v/>
      </c>
    </row>
    <row r="20">
      <c r="A20" s="9" t="n"/>
      <c r="B20" s="10" t="n"/>
      <c r="C20" s="11" t="n"/>
      <c r="D20" s="11" t="n"/>
      <c r="E20" s="12">
        <f>IF($A20="","",IF(ISNUMBER(SEARCH("CD",$A20)),"CD",IF(UPPER($A20)="CASH","Cash",IF(AND(LEN($A20)=5,RIGHT(UPPER($A20),1)="X"),"Mutual Fund","Equity/ETF"))))</f>
        <v/>
      </c>
      <c r="F20" s="13">
        <f>IF($A20="","",IF($E20="CD",IFERROR($B20*$C20/100,""),IF(AND(ISNUMBER($B20),ISNUMBER($C20)),$B20*$C20,"")))</f>
        <v/>
      </c>
      <c r="G20" s="13">
        <f>IF(OR($A20="",NOT(OR($E20="Equity/ETF",$E20="Mutual Fund"))),"",IFERROR(INDEX(_xlfn.STOCKHISTORY($A20,TODAY()-7,TODAY(),0,0,0,1),ROWS(_xlfn.STOCKHISTORY($A20,TODAY()-7,TODAY(),0,0,0,1)),2),""))</f>
        <v/>
      </c>
      <c r="H20" s="13">
        <f>IF(OR($A20="",NOT(OR($E20="Equity/ETF",$E20="Mutual Fund"))),"",IFERROR(MAX(_xlfn.STOCKHISTORY($A20,TODAY()-365,TODAY(),0,0,3)),""))</f>
        <v/>
      </c>
      <c r="I20" s="14">
        <f>IF(OR($G20="",$H20=""),"",IFERROR(($G20-$H20)/$H20,""))</f>
        <v/>
      </c>
      <c r="J20" s="12">
        <f>IF($I20="","",IF($I20&lt;=-0.2,"Bear",IF($I20&lt;=-0.1,"Correction","Normal")))</f>
        <v/>
      </c>
      <c r="K20" s="13">
        <f>IF(OR($A20="",NOT(OR($E20="Equity/ETF",$E20="Mutual Fund"))),"",IFERROR(AVERAGE(_xlfn.STOCKHISTORY($A20,TODAY()-290,TODAY(),0,0,1)),""))</f>
        <v/>
      </c>
      <c r="L20" s="14">
        <f>IF(OR($G20="",$K20=""),"",IFERROR($G20/$K20-1,""))</f>
        <v/>
      </c>
      <c r="M20" s="13">
        <f>IF(OR($A20="",NOT(OR($E20="Equity/ETF",$E20="Mutual Fund"))),"",IFERROR(AVERAGE(_xlfn.STOCKHISTORY($A20,TODAY()-73,TODAY(),0,0,1)),""))</f>
        <v/>
      </c>
      <c r="N20" s="14">
        <f>IF(OR($G20="",$M20=""),"",IFERROR($G20/$M20-1,""))</f>
        <v/>
      </c>
      <c r="O20" s="12">
        <f>IF(OR($K20="",$M20=""),"",IF($M20&gt;=$K20,"Golden Cross","Death Cross"))</f>
        <v/>
      </c>
      <c r="P20" s="13">
        <f>IF($A20="","",IF(OR($E20="Equity/ETF",$E20="Mutual Fund"),IF(ISNUMBER($G20),$B20*$G20,$D20),$D20))</f>
        <v/>
      </c>
      <c r="Q20" s="15">
        <f>IF(OR($P20="",NOT(ISNUMBER($F20))),"",$P20-$F20)</f>
        <v/>
      </c>
      <c r="R20" s="14">
        <f>IF(OR($Q20="",NOT(ISNUMBER($F20)),$F20=0),"",$Q20/$F20)</f>
        <v/>
      </c>
      <c r="S20" s="14">
        <f>IF(OR($P20="",SUM($P$9:$P$48)=0),"",$P20/SUM($P$9:$P$48))</f>
        <v/>
      </c>
    </row>
    <row r="21">
      <c r="A21" s="9" t="n"/>
      <c r="B21" s="10" t="n"/>
      <c r="C21" s="11" t="n"/>
      <c r="D21" s="11" t="n"/>
      <c r="E21" s="12">
        <f>IF($A21="","",IF(ISNUMBER(SEARCH("CD",$A21)),"CD",IF(UPPER($A21)="CASH","Cash",IF(AND(LEN($A21)=5,RIGHT(UPPER($A21),1)="X"),"Mutual Fund","Equity/ETF"))))</f>
        <v/>
      </c>
      <c r="F21" s="13">
        <f>IF($A21="","",IF($E21="CD",IFERROR($B21*$C21/100,""),IF(AND(ISNUMBER($B21),ISNUMBER($C21)),$B21*$C21,"")))</f>
        <v/>
      </c>
      <c r="G21" s="13">
        <f>IF(OR($A21="",NOT(OR($E21="Equity/ETF",$E21="Mutual Fund"))),"",IFERROR(INDEX(_xlfn.STOCKHISTORY($A21,TODAY()-7,TODAY(),0,0,0,1),ROWS(_xlfn.STOCKHISTORY($A21,TODAY()-7,TODAY(),0,0,0,1)),2),""))</f>
        <v/>
      </c>
      <c r="H21" s="13">
        <f>IF(OR($A21="",NOT(OR($E21="Equity/ETF",$E21="Mutual Fund"))),"",IFERROR(MAX(_xlfn.STOCKHISTORY($A21,TODAY()-365,TODAY(),0,0,3)),""))</f>
        <v/>
      </c>
      <c r="I21" s="14">
        <f>IF(OR($G21="",$H21=""),"",IFERROR(($G21-$H21)/$H21,""))</f>
        <v/>
      </c>
      <c r="J21" s="12">
        <f>IF($I21="","",IF($I21&lt;=-0.2,"Bear",IF($I21&lt;=-0.1,"Correction","Normal")))</f>
        <v/>
      </c>
      <c r="K21" s="13">
        <f>IF(OR($A21="",NOT(OR($E21="Equity/ETF",$E21="Mutual Fund"))),"",IFERROR(AVERAGE(_xlfn.STOCKHISTORY($A21,TODAY()-290,TODAY(),0,0,1)),""))</f>
        <v/>
      </c>
      <c r="L21" s="14">
        <f>IF(OR($G21="",$K21=""),"",IFERROR($G21/$K21-1,""))</f>
        <v/>
      </c>
      <c r="M21" s="13">
        <f>IF(OR($A21="",NOT(OR($E21="Equity/ETF",$E21="Mutual Fund"))),"",IFERROR(AVERAGE(_xlfn.STOCKHISTORY($A21,TODAY()-73,TODAY(),0,0,1)),""))</f>
        <v/>
      </c>
      <c r="N21" s="14">
        <f>IF(OR($G21="",$M21=""),"",IFERROR($G21/$M21-1,""))</f>
        <v/>
      </c>
      <c r="O21" s="12">
        <f>IF(OR($K21="",$M21=""),"",IF($M21&gt;=$K21,"Golden Cross","Death Cross"))</f>
        <v/>
      </c>
      <c r="P21" s="13">
        <f>IF($A21="","",IF(OR($E21="Equity/ETF",$E21="Mutual Fund"),IF(ISNUMBER($G21),$B21*$G21,$D21),$D21))</f>
        <v/>
      </c>
      <c r="Q21" s="15">
        <f>IF(OR($P21="",NOT(ISNUMBER($F21))),"",$P21-$F21)</f>
        <v/>
      </c>
      <c r="R21" s="14">
        <f>IF(OR($Q21="",NOT(ISNUMBER($F21)),$F21=0),"",$Q21/$F21)</f>
        <v/>
      </c>
      <c r="S21" s="14">
        <f>IF(OR($P21="",SUM($P$9:$P$48)=0),"",$P21/SUM($P$9:$P$48))</f>
        <v/>
      </c>
    </row>
    <row r="22">
      <c r="A22" s="9" t="n"/>
      <c r="B22" s="10" t="n"/>
      <c r="C22" s="11" t="n"/>
      <c r="D22" s="11" t="n"/>
      <c r="E22" s="12">
        <f>IF($A22="","",IF(ISNUMBER(SEARCH("CD",$A22)),"CD",IF(UPPER($A22)="CASH","Cash",IF(AND(LEN($A22)=5,RIGHT(UPPER($A22),1)="X"),"Mutual Fund","Equity/ETF"))))</f>
        <v/>
      </c>
      <c r="F22" s="13">
        <f>IF($A22="","",IF($E22="CD",IFERROR($B22*$C22/100,""),IF(AND(ISNUMBER($B22),ISNUMBER($C22)),$B22*$C22,"")))</f>
        <v/>
      </c>
      <c r="G22" s="13">
        <f>IF(OR($A22="",NOT(OR($E22="Equity/ETF",$E22="Mutual Fund"))),"",IFERROR(INDEX(_xlfn.STOCKHISTORY($A22,TODAY()-7,TODAY(),0,0,0,1),ROWS(_xlfn.STOCKHISTORY($A22,TODAY()-7,TODAY(),0,0,0,1)),2),""))</f>
        <v/>
      </c>
      <c r="H22" s="13">
        <f>IF(OR($A22="",NOT(OR($E22="Equity/ETF",$E22="Mutual Fund"))),"",IFERROR(MAX(_xlfn.STOCKHISTORY($A22,TODAY()-365,TODAY(),0,0,3)),""))</f>
        <v/>
      </c>
      <c r="I22" s="14">
        <f>IF(OR($G22="",$H22=""),"",IFERROR(($G22-$H22)/$H22,""))</f>
        <v/>
      </c>
      <c r="J22" s="12">
        <f>IF($I22="","",IF($I22&lt;=-0.2,"Bear",IF($I22&lt;=-0.1,"Correction","Normal")))</f>
        <v/>
      </c>
      <c r="K22" s="13">
        <f>IF(OR($A22="",NOT(OR($E22="Equity/ETF",$E22="Mutual Fund"))),"",IFERROR(AVERAGE(_xlfn.STOCKHISTORY($A22,TODAY()-290,TODAY(),0,0,1)),""))</f>
        <v/>
      </c>
      <c r="L22" s="14">
        <f>IF(OR($G22="",$K22=""),"",IFERROR($G22/$K22-1,""))</f>
        <v/>
      </c>
      <c r="M22" s="13">
        <f>IF(OR($A22="",NOT(OR($E22="Equity/ETF",$E22="Mutual Fund"))),"",IFERROR(AVERAGE(_xlfn.STOCKHISTORY($A22,TODAY()-73,TODAY(),0,0,1)),""))</f>
        <v/>
      </c>
      <c r="N22" s="14">
        <f>IF(OR($G22="",$M22=""),"",IFERROR($G22/$M22-1,""))</f>
        <v/>
      </c>
      <c r="O22" s="12">
        <f>IF(OR($K22="",$M22=""),"",IF($M22&gt;=$K22,"Golden Cross","Death Cross"))</f>
        <v/>
      </c>
      <c r="P22" s="13">
        <f>IF($A22="","",IF(OR($E22="Equity/ETF",$E22="Mutual Fund"),IF(ISNUMBER($G22),$B22*$G22,$D22),$D22))</f>
        <v/>
      </c>
      <c r="Q22" s="15">
        <f>IF(OR($P22="",NOT(ISNUMBER($F22))),"",$P22-$F22)</f>
        <v/>
      </c>
      <c r="R22" s="14">
        <f>IF(OR($Q22="",NOT(ISNUMBER($F22)),$F22=0),"",$Q22/$F22)</f>
        <v/>
      </c>
      <c r="S22" s="14">
        <f>IF(OR($P22="",SUM($P$9:$P$48)=0),"",$P22/SUM($P$9:$P$48))</f>
        <v/>
      </c>
    </row>
    <row r="23">
      <c r="A23" s="9" t="n"/>
      <c r="B23" s="10" t="n"/>
      <c r="C23" s="11" t="n"/>
      <c r="D23" s="11" t="n"/>
      <c r="E23" s="12">
        <f>IF($A23="","",IF(ISNUMBER(SEARCH("CD",$A23)),"CD",IF(UPPER($A23)="CASH","Cash",IF(AND(LEN($A23)=5,RIGHT(UPPER($A23),1)="X"),"Mutual Fund","Equity/ETF"))))</f>
        <v/>
      </c>
      <c r="F23" s="13">
        <f>IF($A23="","",IF($E23="CD",IFERROR($B23*$C23/100,""),IF(AND(ISNUMBER($B23),ISNUMBER($C23)),$B23*$C23,"")))</f>
        <v/>
      </c>
      <c r="G23" s="13">
        <f>IF(OR($A23="",NOT(OR($E23="Equity/ETF",$E23="Mutual Fund"))),"",IFERROR(INDEX(_xlfn.STOCKHISTORY($A23,TODAY()-7,TODAY(),0,0,0,1),ROWS(_xlfn.STOCKHISTORY($A23,TODAY()-7,TODAY(),0,0,0,1)),2),""))</f>
        <v/>
      </c>
      <c r="H23" s="13">
        <f>IF(OR($A23="",NOT(OR($E23="Equity/ETF",$E23="Mutual Fund"))),"",IFERROR(MAX(_xlfn.STOCKHISTORY($A23,TODAY()-365,TODAY(),0,0,3)),""))</f>
        <v/>
      </c>
      <c r="I23" s="14">
        <f>IF(OR($G23="",$H23=""),"",IFERROR(($G23-$H23)/$H23,""))</f>
        <v/>
      </c>
      <c r="J23" s="12">
        <f>IF($I23="","",IF($I23&lt;=-0.2,"Bear",IF($I23&lt;=-0.1,"Correction","Normal")))</f>
        <v/>
      </c>
      <c r="K23" s="13">
        <f>IF(OR($A23="",NOT(OR($E23="Equity/ETF",$E23="Mutual Fund"))),"",IFERROR(AVERAGE(_xlfn.STOCKHISTORY($A23,TODAY()-290,TODAY(),0,0,1)),""))</f>
        <v/>
      </c>
      <c r="L23" s="14">
        <f>IF(OR($G23="",$K23=""),"",IFERROR($G23/$K23-1,""))</f>
        <v/>
      </c>
      <c r="M23" s="13">
        <f>IF(OR($A23="",NOT(OR($E23="Equity/ETF",$E23="Mutual Fund"))),"",IFERROR(AVERAGE(_xlfn.STOCKHISTORY($A23,TODAY()-73,TODAY(),0,0,1)),""))</f>
        <v/>
      </c>
      <c r="N23" s="14">
        <f>IF(OR($G23="",$M23=""),"",IFERROR($G23/$M23-1,""))</f>
        <v/>
      </c>
      <c r="O23" s="12">
        <f>IF(OR($K23="",$M23=""),"",IF($M23&gt;=$K23,"Golden Cross","Death Cross"))</f>
        <v/>
      </c>
      <c r="P23" s="13">
        <f>IF($A23="","",IF(OR($E23="Equity/ETF",$E23="Mutual Fund"),IF(ISNUMBER($G23),$B23*$G23,$D23),$D23))</f>
        <v/>
      </c>
      <c r="Q23" s="15">
        <f>IF(OR($P23="",NOT(ISNUMBER($F23))),"",$P23-$F23)</f>
        <v/>
      </c>
      <c r="R23" s="14">
        <f>IF(OR($Q23="",NOT(ISNUMBER($F23)),$F23=0),"",$Q23/$F23)</f>
        <v/>
      </c>
      <c r="S23" s="14">
        <f>IF(OR($P23="",SUM($P$9:$P$48)=0),"",$P23/SUM($P$9:$P$48))</f>
        <v/>
      </c>
    </row>
    <row r="24">
      <c r="A24" s="9" t="n"/>
      <c r="B24" s="10" t="n"/>
      <c r="C24" s="11" t="n"/>
      <c r="D24" s="11" t="n"/>
      <c r="E24" s="12">
        <f>IF($A24="","",IF(ISNUMBER(SEARCH("CD",$A24)),"CD",IF(UPPER($A24)="CASH","Cash",IF(AND(LEN($A24)=5,RIGHT(UPPER($A24),1)="X"),"Mutual Fund","Equity/ETF"))))</f>
        <v/>
      </c>
      <c r="F24" s="13">
        <f>IF($A24="","",IF($E24="CD",IFERROR($B24*$C24/100,""),IF(AND(ISNUMBER($B24),ISNUMBER($C24)),$B24*$C24,"")))</f>
        <v/>
      </c>
      <c r="G24" s="13">
        <f>IF(OR($A24="",NOT(OR($E24="Equity/ETF",$E24="Mutual Fund"))),"",IFERROR(INDEX(_xlfn.STOCKHISTORY($A24,TODAY()-7,TODAY(),0,0,0,1),ROWS(_xlfn.STOCKHISTORY($A24,TODAY()-7,TODAY(),0,0,0,1)),2),""))</f>
        <v/>
      </c>
      <c r="H24" s="13">
        <f>IF(OR($A24="",NOT(OR($E24="Equity/ETF",$E24="Mutual Fund"))),"",IFERROR(MAX(_xlfn.STOCKHISTORY($A24,TODAY()-365,TODAY(),0,0,3)),""))</f>
        <v/>
      </c>
      <c r="I24" s="14">
        <f>IF(OR($G24="",$H24=""),"",IFERROR(($G24-$H24)/$H24,""))</f>
        <v/>
      </c>
      <c r="J24" s="12">
        <f>IF($I24="","",IF($I24&lt;=-0.2,"Bear",IF($I24&lt;=-0.1,"Correction","Normal")))</f>
        <v/>
      </c>
      <c r="K24" s="13">
        <f>IF(OR($A24="",NOT(OR($E24="Equity/ETF",$E24="Mutual Fund"))),"",IFERROR(AVERAGE(_xlfn.STOCKHISTORY($A24,TODAY()-290,TODAY(),0,0,1)),""))</f>
        <v/>
      </c>
      <c r="L24" s="14">
        <f>IF(OR($G24="",$K24=""),"",IFERROR($G24/$K24-1,""))</f>
        <v/>
      </c>
      <c r="M24" s="13">
        <f>IF(OR($A24="",NOT(OR($E24="Equity/ETF",$E24="Mutual Fund"))),"",IFERROR(AVERAGE(_xlfn.STOCKHISTORY($A24,TODAY()-73,TODAY(),0,0,1)),""))</f>
        <v/>
      </c>
      <c r="N24" s="14">
        <f>IF(OR($G24="",$M24=""),"",IFERROR($G24/$M24-1,""))</f>
        <v/>
      </c>
      <c r="O24" s="12">
        <f>IF(OR($K24="",$M24=""),"",IF($M24&gt;=$K24,"Golden Cross","Death Cross"))</f>
        <v/>
      </c>
      <c r="P24" s="13">
        <f>IF($A24="","",IF(OR($E24="Equity/ETF",$E24="Mutual Fund"),IF(ISNUMBER($G24),$B24*$G24,$D24),$D24))</f>
        <v/>
      </c>
      <c r="Q24" s="15">
        <f>IF(OR($P24="",NOT(ISNUMBER($F24))),"",$P24-$F24)</f>
        <v/>
      </c>
      <c r="R24" s="14">
        <f>IF(OR($Q24="",NOT(ISNUMBER($F24)),$F24=0),"",$Q24/$F24)</f>
        <v/>
      </c>
      <c r="S24" s="14">
        <f>IF(OR($P24="",SUM($P$9:$P$48)=0),"",$P24/SUM($P$9:$P$48))</f>
        <v/>
      </c>
    </row>
    <row r="25">
      <c r="A25" s="9" t="n"/>
      <c r="B25" s="10" t="n"/>
      <c r="C25" s="11" t="n"/>
      <c r="D25" s="11" t="n"/>
      <c r="E25" s="12">
        <f>IF($A25="","",IF(ISNUMBER(SEARCH("CD",$A25)),"CD",IF(UPPER($A25)="CASH","Cash",IF(AND(LEN($A25)=5,RIGHT(UPPER($A25),1)="X"),"Mutual Fund","Equity/ETF"))))</f>
        <v/>
      </c>
      <c r="F25" s="13">
        <f>IF($A25="","",IF($E25="CD",IFERROR($B25*$C25/100,""),IF(AND(ISNUMBER($B25),ISNUMBER($C25)),$B25*$C25,"")))</f>
        <v/>
      </c>
      <c r="G25" s="13">
        <f>IF(OR($A25="",NOT(OR($E25="Equity/ETF",$E25="Mutual Fund"))),"",IFERROR(INDEX(_xlfn.STOCKHISTORY($A25,TODAY()-7,TODAY(),0,0,0,1),ROWS(_xlfn.STOCKHISTORY($A25,TODAY()-7,TODAY(),0,0,0,1)),2),""))</f>
        <v/>
      </c>
      <c r="H25" s="13">
        <f>IF(OR($A25="",NOT(OR($E25="Equity/ETF",$E25="Mutual Fund"))),"",IFERROR(MAX(_xlfn.STOCKHISTORY($A25,TODAY()-365,TODAY(),0,0,3)),""))</f>
        <v/>
      </c>
      <c r="I25" s="14">
        <f>IF(OR($G25="",$H25=""),"",IFERROR(($G25-$H25)/$H25,""))</f>
        <v/>
      </c>
      <c r="J25" s="12">
        <f>IF($I25="","",IF($I25&lt;=-0.2,"Bear",IF($I25&lt;=-0.1,"Correction","Normal")))</f>
        <v/>
      </c>
      <c r="K25" s="13">
        <f>IF(OR($A25="",NOT(OR($E25="Equity/ETF",$E25="Mutual Fund"))),"",IFERROR(AVERAGE(_xlfn.STOCKHISTORY($A25,TODAY()-290,TODAY(),0,0,1)),""))</f>
        <v/>
      </c>
      <c r="L25" s="14">
        <f>IF(OR($G25="",$K25=""),"",IFERROR($G25/$K25-1,""))</f>
        <v/>
      </c>
      <c r="M25" s="13">
        <f>IF(OR($A25="",NOT(OR($E25="Equity/ETF",$E25="Mutual Fund"))),"",IFERROR(AVERAGE(_xlfn.STOCKHISTORY($A25,TODAY()-73,TODAY(),0,0,1)),""))</f>
        <v/>
      </c>
      <c r="N25" s="14">
        <f>IF(OR($G25="",$M25=""),"",IFERROR($G25/$M25-1,""))</f>
        <v/>
      </c>
      <c r="O25" s="12">
        <f>IF(OR($K25="",$M25=""),"",IF($M25&gt;=$K25,"Golden Cross","Death Cross"))</f>
        <v/>
      </c>
      <c r="P25" s="13">
        <f>IF($A25="","",IF(OR($E25="Equity/ETF",$E25="Mutual Fund"),IF(ISNUMBER($G25),$B25*$G25,$D25),$D25))</f>
        <v/>
      </c>
      <c r="Q25" s="15">
        <f>IF(OR($P25="",NOT(ISNUMBER($F25))),"",$P25-$F25)</f>
        <v/>
      </c>
      <c r="R25" s="14">
        <f>IF(OR($Q25="",NOT(ISNUMBER($F25)),$F25=0),"",$Q25/$F25)</f>
        <v/>
      </c>
      <c r="S25" s="14">
        <f>IF(OR($P25="",SUM($P$9:$P$48)=0),"",$P25/SUM($P$9:$P$48))</f>
        <v/>
      </c>
    </row>
    <row r="26">
      <c r="A26" s="9" t="n"/>
      <c r="B26" s="10" t="n"/>
      <c r="C26" s="11" t="n"/>
      <c r="D26" s="11" t="n"/>
      <c r="E26" s="12">
        <f>IF($A26="","",IF(ISNUMBER(SEARCH("CD",$A26)),"CD",IF(UPPER($A26)="CASH","Cash",IF(AND(LEN($A26)=5,RIGHT(UPPER($A26),1)="X"),"Mutual Fund","Equity/ETF"))))</f>
        <v/>
      </c>
      <c r="F26" s="13">
        <f>IF($A26="","",IF($E26="CD",IFERROR($B26*$C26/100,""),IF(AND(ISNUMBER($B26),ISNUMBER($C26)),$B26*$C26,"")))</f>
        <v/>
      </c>
      <c r="G26" s="13">
        <f>IF(OR($A26="",NOT(OR($E26="Equity/ETF",$E26="Mutual Fund"))),"",IFERROR(INDEX(_xlfn.STOCKHISTORY($A26,TODAY()-7,TODAY(),0,0,0,1),ROWS(_xlfn.STOCKHISTORY($A26,TODAY()-7,TODAY(),0,0,0,1)),2),""))</f>
        <v/>
      </c>
      <c r="H26" s="13">
        <f>IF(OR($A26="",NOT(OR($E26="Equity/ETF",$E26="Mutual Fund"))),"",IFERROR(MAX(_xlfn.STOCKHISTORY($A26,TODAY()-365,TODAY(),0,0,3)),""))</f>
        <v/>
      </c>
      <c r="I26" s="14">
        <f>IF(OR($G26="",$H26=""),"",IFERROR(($G26-$H26)/$H26,""))</f>
        <v/>
      </c>
      <c r="J26" s="12">
        <f>IF($I26="","",IF($I26&lt;=-0.2,"Bear",IF($I26&lt;=-0.1,"Correction","Normal")))</f>
        <v/>
      </c>
      <c r="K26" s="13">
        <f>IF(OR($A26="",NOT(OR($E26="Equity/ETF",$E26="Mutual Fund"))),"",IFERROR(AVERAGE(_xlfn.STOCKHISTORY($A26,TODAY()-290,TODAY(),0,0,1)),""))</f>
        <v/>
      </c>
      <c r="L26" s="14">
        <f>IF(OR($G26="",$K26=""),"",IFERROR($G26/$K26-1,""))</f>
        <v/>
      </c>
      <c r="M26" s="13">
        <f>IF(OR($A26="",NOT(OR($E26="Equity/ETF",$E26="Mutual Fund"))),"",IFERROR(AVERAGE(_xlfn.STOCKHISTORY($A26,TODAY()-73,TODAY(),0,0,1)),""))</f>
        <v/>
      </c>
      <c r="N26" s="14">
        <f>IF(OR($G26="",$M26=""),"",IFERROR($G26/$M26-1,""))</f>
        <v/>
      </c>
      <c r="O26" s="12">
        <f>IF(OR($K26="",$M26=""),"",IF($M26&gt;=$K26,"Golden Cross","Death Cross"))</f>
        <v/>
      </c>
      <c r="P26" s="13">
        <f>IF($A26="","",IF(OR($E26="Equity/ETF",$E26="Mutual Fund"),IF(ISNUMBER($G26),$B26*$G26,$D26),$D26))</f>
        <v/>
      </c>
      <c r="Q26" s="15">
        <f>IF(OR($P26="",NOT(ISNUMBER($F26))),"",$P26-$F26)</f>
        <v/>
      </c>
      <c r="R26" s="14">
        <f>IF(OR($Q26="",NOT(ISNUMBER($F26)),$F26=0),"",$Q26/$F26)</f>
        <v/>
      </c>
      <c r="S26" s="14">
        <f>IF(OR($P26="",SUM($P$9:$P$48)=0),"",$P26/SUM($P$9:$P$48))</f>
        <v/>
      </c>
    </row>
    <row r="27">
      <c r="A27" s="9" t="n"/>
      <c r="B27" s="10" t="n"/>
      <c r="C27" s="11" t="n"/>
      <c r="D27" s="11" t="n"/>
      <c r="E27" s="12">
        <f>IF($A27="","",IF(ISNUMBER(SEARCH("CD",$A27)),"CD",IF(UPPER($A27)="CASH","Cash",IF(AND(LEN($A27)=5,RIGHT(UPPER($A27),1)="X"),"Mutual Fund","Equity/ETF"))))</f>
        <v/>
      </c>
      <c r="F27" s="13">
        <f>IF($A27="","",IF($E27="CD",IFERROR($B27*$C27/100,""),IF(AND(ISNUMBER($B27),ISNUMBER($C27)),$B27*$C27,"")))</f>
        <v/>
      </c>
      <c r="G27" s="13">
        <f>IF(OR($A27="",NOT(OR($E27="Equity/ETF",$E27="Mutual Fund"))),"",IFERROR(INDEX(_xlfn.STOCKHISTORY($A27,TODAY()-7,TODAY(),0,0,0,1),ROWS(_xlfn.STOCKHISTORY($A27,TODAY()-7,TODAY(),0,0,0,1)),2),""))</f>
        <v/>
      </c>
      <c r="H27" s="13">
        <f>IF(OR($A27="",NOT(OR($E27="Equity/ETF",$E27="Mutual Fund"))),"",IFERROR(MAX(_xlfn.STOCKHISTORY($A27,TODAY()-365,TODAY(),0,0,3)),""))</f>
        <v/>
      </c>
      <c r="I27" s="14">
        <f>IF(OR($G27="",$H27=""),"",IFERROR(($G27-$H27)/$H27,""))</f>
        <v/>
      </c>
      <c r="J27" s="12">
        <f>IF($I27="","",IF($I27&lt;=-0.2,"Bear",IF($I27&lt;=-0.1,"Correction","Normal")))</f>
        <v/>
      </c>
      <c r="K27" s="13">
        <f>IF(OR($A27="",NOT(OR($E27="Equity/ETF",$E27="Mutual Fund"))),"",IFERROR(AVERAGE(_xlfn.STOCKHISTORY($A27,TODAY()-290,TODAY(),0,0,1)),""))</f>
        <v/>
      </c>
      <c r="L27" s="14">
        <f>IF(OR($G27="",$K27=""),"",IFERROR($G27/$K27-1,""))</f>
        <v/>
      </c>
      <c r="M27" s="13">
        <f>IF(OR($A27="",NOT(OR($E27="Equity/ETF",$E27="Mutual Fund"))),"",IFERROR(AVERAGE(_xlfn.STOCKHISTORY($A27,TODAY()-73,TODAY(),0,0,1)),""))</f>
        <v/>
      </c>
      <c r="N27" s="14">
        <f>IF(OR($G27="",$M27=""),"",IFERROR($G27/$M27-1,""))</f>
        <v/>
      </c>
      <c r="O27" s="12">
        <f>IF(OR($K27="",$M27=""),"",IF($M27&gt;=$K27,"Golden Cross","Death Cross"))</f>
        <v/>
      </c>
      <c r="P27" s="13">
        <f>IF($A27="","",IF(OR($E27="Equity/ETF",$E27="Mutual Fund"),IF(ISNUMBER($G27),$B27*$G27,$D27),$D27))</f>
        <v/>
      </c>
      <c r="Q27" s="15">
        <f>IF(OR($P27="",NOT(ISNUMBER($F27))),"",$P27-$F27)</f>
        <v/>
      </c>
      <c r="R27" s="14">
        <f>IF(OR($Q27="",NOT(ISNUMBER($F27)),$F27=0),"",$Q27/$F27)</f>
        <v/>
      </c>
      <c r="S27" s="14">
        <f>IF(OR($P27="",SUM($P$9:$P$48)=0),"",$P27/SUM($P$9:$P$48))</f>
        <v/>
      </c>
    </row>
    <row r="28">
      <c r="A28" s="9" t="n"/>
      <c r="B28" s="10" t="n"/>
      <c r="C28" s="11" t="n"/>
      <c r="D28" s="11" t="n"/>
      <c r="E28" s="12">
        <f>IF($A28="","",IF(ISNUMBER(SEARCH("CD",$A28)),"CD",IF(UPPER($A28)="CASH","Cash",IF(AND(LEN($A28)=5,RIGHT(UPPER($A28),1)="X"),"Mutual Fund","Equity/ETF"))))</f>
        <v/>
      </c>
      <c r="F28" s="13">
        <f>IF($A28="","",IF($E28="CD",IFERROR($B28*$C28/100,""),IF(AND(ISNUMBER($B28),ISNUMBER($C28)),$B28*$C28,"")))</f>
        <v/>
      </c>
      <c r="G28" s="13">
        <f>IF(OR($A28="",NOT(OR($E28="Equity/ETF",$E28="Mutual Fund"))),"",IFERROR(INDEX(_xlfn.STOCKHISTORY($A28,TODAY()-7,TODAY(),0,0,0,1),ROWS(_xlfn.STOCKHISTORY($A28,TODAY()-7,TODAY(),0,0,0,1)),2),""))</f>
        <v/>
      </c>
      <c r="H28" s="13">
        <f>IF(OR($A28="",NOT(OR($E28="Equity/ETF",$E28="Mutual Fund"))),"",IFERROR(MAX(_xlfn.STOCKHISTORY($A28,TODAY()-365,TODAY(),0,0,3)),""))</f>
        <v/>
      </c>
      <c r="I28" s="14">
        <f>IF(OR($G28="",$H28=""),"",IFERROR(($G28-$H28)/$H28,""))</f>
        <v/>
      </c>
      <c r="J28" s="12">
        <f>IF($I28="","",IF($I28&lt;=-0.2,"Bear",IF($I28&lt;=-0.1,"Correction","Normal")))</f>
        <v/>
      </c>
      <c r="K28" s="13">
        <f>IF(OR($A28="",NOT(OR($E28="Equity/ETF",$E28="Mutual Fund"))),"",IFERROR(AVERAGE(_xlfn.STOCKHISTORY($A28,TODAY()-290,TODAY(),0,0,1)),""))</f>
        <v/>
      </c>
      <c r="L28" s="14">
        <f>IF(OR($G28="",$K28=""),"",IFERROR($G28/$K28-1,""))</f>
        <v/>
      </c>
      <c r="M28" s="13">
        <f>IF(OR($A28="",NOT(OR($E28="Equity/ETF",$E28="Mutual Fund"))),"",IFERROR(AVERAGE(_xlfn.STOCKHISTORY($A28,TODAY()-73,TODAY(),0,0,1)),""))</f>
        <v/>
      </c>
      <c r="N28" s="14">
        <f>IF(OR($G28="",$M28=""),"",IFERROR($G28/$M28-1,""))</f>
        <v/>
      </c>
      <c r="O28" s="12">
        <f>IF(OR($K28="",$M28=""),"",IF($M28&gt;=$K28,"Golden Cross","Death Cross"))</f>
        <v/>
      </c>
      <c r="P28" s="13">
        <f>IF($A28="","",IF(OR($E28="Equity/ETF",$E28="Mutual Fund"),IF(ISNUMBER($G28),$B28*$G28,$D28),$D28))</f>
        <v/>
      </c>
      <c r="Q28" s="15">
        <f>IF(OR($P28="",NOT(ISNUMBER($F28))),"",$P28-$F28)</f>
        <v/>
      </c>
      <c r="R28" s="14">
        <f>IF(OR($Q28="",NOT(ISNUMBER($F28)),$F28=0),"",$Q28/$F28)</f>
        <v/>
      </c>
      <c r="S28" s="14">
        <f>IF(OR($P28="",SUM($P$9:$P$48)=0),"",$P28/SUM($P$9:$P$48))</f>
        <v/>
      </c>
    </row>
    <row r="29">
      <c r="A29" s="9" t="n"/>
      <c r="B29" s="10" t="n"/>
      <c r="C29" s="11" t="n"/>
      <c r="D29" s="11" t="n"/>
      <c r="E29" s="12">
        <f>IF($A29="","",IF(ISNUMBER(SEARCH("CD",$A29)),"CD",IF(UPPER($A29)="CASH","Cash",IF(AND(LEN($A29)=5,RIGHT(UPPER($A29),1)="X"),"Mutual Fund","Equity/ETF"))))</f>
        <v/>
      </c>
      <c r="F29" s="13">
        <f>IF($A29="","",IF($E29="CD",IFERROR($B29*$C29/100,""),IF(AND(ISNUMBER($B29),ISNUMBER($C29)),$B29*$C29,"")))</f>
        <v/>
      </c>
      <c r="G29" s="13">
        <f>IF(OR($A29="",NOT(OR($E29="Equity/ETF",$E29="Mutual Fund"))),"",IFERROR(INDEX(_xlfn.STOCKHISTORY($A29,TODAY()-7,TODAY(),0,0,0,1),ROWS(_xlfn.STOCKHISTORY($A29,TODAY()-7,TODAY(),0,0,0,1)),2),""))</f>
        <v/>
      </c>
      <c r="H29" s="13">
        <f>IF(OR($A29="",NOT(OR($E29="Equity/ETF",$E29="Mutual Fund"))),"",IFERROR(MAX(_xlfn.STOCKHISTORY($A29,TODAY()-365,TODAY(),0,0,3)),""))</f>
        <v/>
      </c>
      <c r="I29" s="14">
        <f>IF(OR($G29="",$H29=""),"",IFERROR(($G29-$H29)/$H29,""))</f>
        <v/>
      </c>
      <c r="J29" s="12">
        <f>IF($I29="","",IF($I29&lt;=-0.2,"Bear",IF($I29&lt;=-0.1,"Correction","Normal")))</f>
        <v/>
      </c>
      <c r="K29" s="13">
        <f>IF(OR($A29="",NOT(OR($E29="Equity/ETF",$E29="Mutual Fund"))),"",IFERROR(AVERAGE(_xlfn.STOCKHISTORY($A29,TODAY()-290,TODAY(),0,0,1)),""))</f>
        <v/>
      </c>
      <c r="L29" s="14">
        <f>IF(OR($G29="",$K29=""),"",IFERROR($G29/$K29-1,""))</f>
        <v/>
      </c>
      <c r="M29" s="13">
        <f>IF(OR($A29="",NOT(OR($E29="Equity/ETF",$E29="Mutual Fund"))),"",IFERROR(AVERAGE(_xlfn.STOCKHISTORY($A29,TODAY()-73,TODAY(),0,0,1)),""))</f>
        <v/>
      </c>
      <c r="N29" s="14">
        <f>IF(OR($G29="",$M29=""),"",IFERROR($G29/$M29-1,""))</f>
        <v/>
      </c>
      <c r="O29" s="12">
        <f>IF(OR($K29="",$M29=""),"",IF($M29&gt;=$K29,"Golden Cross","Death Cross"))</f>
        <v/>
      </c>
      <c r="P29" s="13">
        <f>IF($A29="","",IF(OR($E29="Equity/ETF",$E29="Mutual Fund"),IF(ISNUMBER($G29),$B29*$G29,$D29),$D29))</f>
        <v/>
      </c>
      <c r="Q29" s="15">
        <f>IF(OR($P29="",NOT(ISNUMBER($F29))),"",$P29-$F29)</f>
        <v/>
      </c>
      <c r="R29" s="14">
        <f>IF(OR($Q29="",NOT(ISNUMBER($F29)),$F29=0),"",$Q29/$F29)</f>
        <v/>
      </c>
      <c r="S29" s="14">
        <f>IF(OR($P29="",SUM($P$9:$P$48)=0),"",$P29/SUM($P$9:$P$48))</f>
        <v/>
      </c>
    </row>
    <row r="30">
      <c r="A30" s="9" t="n"/>
      <c r="B30" s="10" t="n"/>
      <c r="C30" s="11" t="n"/>
      <c r="D30" s="11" t="n"/>
      <c r="E30" s="12">
        <f>IF($A30="","",IF(ISNUMBER(SEARCH("CD",$A30)),"CD",IF(UPPER($A30)="CASH","Cash",IF(AND(LEN($A30)=5,RIGHT(UPPER($A30),1)="X"),"Mutual Fund","Equity/ETF"))))</f>
        <v/>
      </c>
      <c r="F30" s="13">
        <f>IF($A30="","",IF($E30="CD",IFERROR($B30*$C30/100,""),IF(AND(ISNUMBER($B30),ISNUMBER($C30)),$B30*$C30,"")))</f>
        <v/>
      </c>
      <c r="G30" s="13">
        <f>IF(OR($A30="",NOT(OR($E30="Equity/ETF",$E30="Mutual Fund"))),"",IFERROR(INDEX(_xlfn.STOCKHISTORY($A30,TODAY()-7,TODAY(),0,0,0,1),ROWS(_xlfn.STOCKHISTORY($A30,TODAY()-7,TODAY(),0,0,0,1)),2),""))</f>
        <v/>
      </c>
      <c r="H30" s="13">
        <f>IF(OR($A30="",NOT(OR($E30="Equity/ETF",$E30="Mutual Fund"))),"",IFERROR(MAX(_xlfn.STOCKHISTORY($A30,TODAY()-365,TODAY(),0,0,3)),""))</f>
        <v/>
      </c>
      <c r="I30" s="14">
        <f>IF(OR($G30="",$H30=""),"",IFERROR(($G30-$H30)/$H30,""))</f>
        <v/>
      </c>
      <c r="J30" s="12">
        <f>IF($I30="","",IF($I30&lt;=-0.2,"Bear",IF($I30&lt;=-0.1,"Correction","Normal")))</f>
        <v/>
      </c>
      <c r="K30" s="13">
        <f>IF(OR($A30="",NOT(OR($E30="Equity/ETF",$E30="Mutual Fund"))),"",IFERROR(AVERAGE(_xlfn.STOCKHISTORY($A30,TODAY()-290,TODAY(),0,0,1)),""))</f>
        <v/>
      </c>
      <c r="L30" s="14">
        <f>IF(OR($G30="",$K30=""),"",IFERROR($G30/$K30-1,""))</f>
        <v/>
      </c>
      <c r="M30" s="13">
        <f>IF(OR($A30="",NOT(OR($E30="Equity/ETF",$E30="Mutual Fund"))),"",IFERROR(AVERAGE(_xlfn.STOCKHISTORY($A30,TODAY()-73,TODAY(),0,0,1)),""))</f>
        <v/>
      </c>
      <c r="N30" s="14">
        <f>IF(OR($G30="",$M30=""),"",IFERROR($G30/$M30-1,""))</f>
        <v/>
      </c>
      <c r="O30" s="12">
        <f>IF(OR($K30="",$M30=""),"",IF($M30&gt;=$K30,"Golden Cross","Death Cross"))</f>
        <v/>
      </c>
      <c r="P30" s="13">
        <f>IF($A30="","",IF(OR($E30="Equity/ETF",$E30="Mutual Fund"),IF(ISNUMBER($G30),$B30*$G30,$D30),$D30))</f>
        <v/>
      </c>
      <c r="Q30" s="15">
        <f>IF(OR($P30="",NOT(ISNUMBER($F30))),"",$P30-$F30)</f>
        <v/>
      </c>
      <c r="R30" s="14">
        <f>IF(OR($Q30="",NOT(ISNUMBER($F30)),$F30=0),"",$Q30/$F30)</f>
        <v/>
      </c>
      <c r="S30" s="14">
        <f>IF(OR($P30="",SUM($P$9:$P$48)=0),"",$P30/SUM($P$9:$P$48))</f>
        <v/>
      </c>
    </row>
    <row r="31">
      <c r="A31" s="9" t="n"/>
      <c r="B31" s="10" t="n"/>
      <c r="C31" s="11" t="n"/>
      <c r="D31" s="11" t="n"/>
      <c r="E31" s="12">
        <f>IF($A31="","",IF(ISNUMBER(SEARCH("CD",$A31)),"CD",IF(UPPER($A31)="CASH","Cash",IF(AND(LEN($A31)=5,RIGHT(UPPER($A31),1)="X"),"Mutual Fund","Equity/ETF"))))</f>
        <v/>
      </c>
      <c r="F31" s="13">
        <f>IF($A31="","",IF($E31="CD",IFERROR($B31*$C31/100,""),IF(AND(ISNUMBER($B31),ISNUMBER($C31)),$B31*$C31,"")))</f>
        <v/>
      </c>
      <c r="G31" s="13">
        <f>IF(OR($A31="",NOT(OR($E31="Equity/ETF",$E31="Mutual Fund"))),"",IFERROR(INDEX(_xlfn.STOCKHISTORY($A31,TODAY()-7,TODAY(),0,0,0,1),ROWS(_xlfn.STOCKHISTORY($A31,TODAY()-7,TODAY(),0,0,0,1)),2),""))</f>
        <v/>
      </c>
      <c r="H31" s="13">
        <f>IF(OR($A31="",NOT(OR($E31="Equity/ETF",$E31="Mutual Fund"))),"",IFERROR(MAX(_xlfn.STOCKHISTORY($A31,TODAY()-365,TODAY(),0,0,3)),""))</f>
        <v/>
      </c>
      <c r="I31" s="14">
        <f>IF(OR($G31="",$H31=""),"",IFERROR(($G31-$H31)/$H31,""))</f>
        <v/>
      </c>
      <c r="J31" s="12">
        <f>IF($I31="","",IF($I31&lt;=-0.2,"Bear",IF($I31&lt;=-0.1,"Correction","Normal")))</f>
        <v/>
      </c>
      <c r="K31" s="13">
        <f>IF(OR($A31="",NOT(OR($E31="Equity/ETF",$E31="Mutual Fund"))),"",IFERROR(AVERAGE(_xlfn.STOCKHISTORY($A31,TODAY()-290,TODAY(),0,0,1)),""))</f>
        <v/>
      </c>
      <c r="L31" s="14">
        <f>IF(OR($G31="",$K31=""),"",IFERROR($G31/$K31-1,""))</f>
        <v/>
      </c>
      <c r="M31" s="13">
        <f>IF(OR($A31="",NOT(OR($E31="Equity/ETF",$E31="Mutual Fund"))),"",IFERROR(AVERAGE(_xlfn.STOCKHISTORY($A31,TODAY()-73,TODAY(),0,0,1)),""))</f>
        <v/>
      </c>
      <c r="N31" s="14">
        <f>IF(OR($G31="",$M31=""),"",IFERROR($G31/$M31-1,""))</f>
        <v/>
      </c>
      <c r="O31" s="12">
        <f>IF(OR($K31="",$M31=""),"",IF($M31&gt;=$K31,"Golden Cross","Death Cross"))</f>
        <v/>
      </c>
      <c r="P31" s="13">
        <f>IF($A31="","",IF(OR($E31="Equity/ETF",$E31="Mutual Fund"),IF(ISNUMBER($G31),$B31*$G31,$D31),$D31))</f>
        <v/>
      </c>
      <c r="Q31" s="15">
        <f>IF(OR($P31="",NOT(ISNUMBER($F31))),"",$P31-$F31)</f>
        <v/>
      </c>
      <c r="R31" s="14">
        <f>IF(OR($Q31="",NOT(ISNUMBER($F31)),$F31=0),"",$Q31/$F31)</f>
        <v/>
      </c>
      <c r="S31" s="14">
        <f>IF(OR($P31="",SUM($P$9:$P$48)=0),"",$P31/SUM($P$9:$P$48))</f>
        <v/>
      </c>
    </row>
    <row r="32">
      <c r="A32" s="9" t="n"/>
      <c r="B32" s="10" t="n"/>
      <c r="C32" s="11" t="n"/>
      <c r="D32" s="11" t="n"/>
      <c r="E32" s="12">
        <f>IF($A32="","",IF(ISNUMBER(SEARCH("CD",$A32)),"CD",IF(UPPER($A32)="CASH","Cash",IF(AND(LEN($A32)=5,RIGHT(UPPER($A32),1)="X"),"Mutual Fund","Equity/ETF"))))</f>
        <v/>
      </c>
      <c r="F32" s="13">
        <f>IF($A32="","",IF($E32="CD",IFERROR($B32*$C32/100,""),IF(AND(ISNUMBER($B32),ISNUMBER($C32)),$B32*$C32,"")))</f>
        <v/>
      </c>
      <c r="G32" s="13">
        <f>IF(OR($A32="",NOT(OR($E32="Equity/ETF",$E32="Mutual Fund"))),"",IFERROR(INDEX(_xlfn.STOCKHISTORY($A32,TODAY()-7,TODAY(),0,0,0,1),ROWS(_xlfn.STOCKHISTORY($A32,TODAY()-7,TODAY(),0,0,0,1)),2),""))</f>
        <v/>
      </c>
      <c r="H32" s="13">
        <f>IF(OR($A32="",NOT(OR($E32="Equity/ETF",$E32="Mutual Fund"))),"",IFERROR(MAX(_xlfn.STOCKHISTORY($A32,TODAY()-365,TODAY(),0,0,3)),""))</f>
        <v/>
      </c>
      <c r="I32" s="14">
        <f>IF(OR($G32="",$H32=""),"",IFERROR(($G32-$H32)/$H32,""))</f>
        <v/>
      </c>
      <c r="J32" s="12">
        <f>IF($I32="","",IF($I32&lt;=-0.2,"Bear",IF($I32&lt;=-0.1,"Correction","Normal")))</f>
        <v/>
      </c>
      <c r="K32" s="13">
        <f>IF(OR($A32="",NOT(OR($E32="Equity/ETF",$E32="Mutual Fund"))),"",IFERROR(AVERAGE(_xlfn.STOCKHISTORY($A32,TODAY()-290,TODAY(),0,0,1)),""))</f>
        <v/>
      </c>
      <c r="L32" s="14">
        <f>IF(OR($G32="",$K32=""),"",IFERROR($G32/$K32-1,""))</f>
        <v/>
      </c>
      <c r="M32" s="13">
        <f>IF(OR($A32="",NOT(OR($E32="Equity/ETF",$E32="Mutual Fund"))),"",IFERROR(AVERAGE(_xlfn.STOCKHISTORY($A32,TODAY()-73,TODAY(),0,0,1)),""))</f>
        <v/>
      </c>
      <c r="N32" s="14">
        <f>IF(OR($G32="",$M32=""),"",IFERROR($G32/$M32-1,""))</f>
        <v/>
      </c>
      <c r="O32" s="12">
        <f>IF(OR($K32="",$M32=""),"",IF($M32&gt;=$K32,"Golden Cross","Death Cross"))</f>
        <v/>
      </c>
      <c r="P32" s="13">
        <f>IF($A32="","",IF(OR($E32="Equity/ETF",$E32="Mutual Fund"),IF(ISNUMBER($G32),$B32*$G32,$D32),$D32))</f>
        <v/>
      </c>
      <c r="Q32" s="15">
        <f>IF(OR($P32="",NOT(ISNUMBER($F32))),"",$P32-$F32)</f>
        <v/>
      </c>
      <c r="R32" s="14">
        <f>IF(OR($Q32="",NOT(ISNUMBER($F32)),$F32=0),"",$Q32/$F32)</f>
        <v/>
      </c>
      <c r="S32" s="14">
        <f>IF(OR($P32="",SUM($P$9:$P$48)=0),"",$P32/SUM($P$9:$P$48))</f>
        <v/>
      </c>
    </row>
    <row r="33">
      <c r="A33" s="9" t="n"/>
      <c r="B33" s="10" t="n"/>
      <c r="C33" s="11" t="n"/>
      <c r="D33" s="11" t="n"/>
      <c r="E33" s="12">
        <f>IF($A33="","",IF(ISNUMBER(SEARCH("CD",$A33)),"CD",IF(UPPER($A33)="CASH","Cash",IF(AND(LEN($A33)=5,RIGHT(UPPER($A33),1)="X"),"Mutual Fund","Equity/ETF"))))</f>
        <v/>
      </c>
      <c r="F33" s="13">
        <f>IF($A33="","",IF($E33="CD",IFERROR($B33*$C33/100,""),IF(AND(ISNUMBER($B33),ISNUMBER($C33)),$B33*$C33,"")))</f>
        <v/>
      </c>
      <c r="G33" s="13">
        <f>IF(OR($A33="",NOT(OR($E33="Equity/ETF",$E33="Mutual Fund"))),"",IFERROR(INDEX(_xlfn.STOCKHISTORY($A33,TODAY()-7,TODAY(),0,0,0,1),ROWS(_xlfn.STOCKHISTORY($A33,TODAY()-7,TODAY(),0,0,0,1)),2),""))</f>
        <v/>
      </c>
      <c r="H33" s="13">
        <f>IF(OR($A33="",NOT(OR($E33="Equity/ETF",$E33="Mutual Fund"))),"",IFERROR(MAX(_xlfn.STOCKHISTORY($A33,TODAY()-365,TODAY(),0,0,3)),""))</f>
        <v/>
      </c>
      <c r="I33" s="14">
        <f>IF(OR($G33="",$H33=""),"",IFERROR(($G33-$H33)/$H33,""))</f>
        <v/>
      </c>
      <c r="J33" s="12">
        <f>IF($I33="","",IF($I33&lt;=-0.2,"Bear",IF($I33&lt;=-0.1,"Correction","Normal")))</f>
        <v/>
      </c>
      <c r="K33" s="13">
        <f>IF(OR($A33="",NOT(OR($E33="Equity/ETF",$E33="Mutual Fund"))),"",IFERROR(AVERAGE(_xlfn.STOCKHISTORY($A33,TODAY()-290,TODAY(),0,0,1)),""))</f>
        <v/>
      </c>
      <c r="L33" s="14">
        <f>IF(OR($G33="",$K33=""),"",IFERROR($G33/$K33-1,""))</f>
        <v/>
      </c>
      <c r="M33" s="13">
        <f>IF(OR($A33="",NOT(OR($E33="Equity/ETF",$E33="Mutual Fund"))),"",IFERROR(AVERAGE(_xlfn.STOCKHISTORY($A33,TODAY()-73,TODAY(),0,0,1)),""))</f>
        <v/>
      </c>
      <c r="N33" s="14">
        <f>IF(OR($G33="",$M33=""),"",IFERROR($G33/$M33-1,""))</f>
        <v/>
      </c>
      <c r="O33" s="12">
        <f>IF(OR($K33="",$M33=""),"",IF($M33&gt;=$K33,"Golden Cross","Death Cross"))</f>
        <v/>
      </c>
      <c r="P33" s="13">
        <f>IF($A33="","",IF(OR($E33="Equity/ETF",$E33="Mutual Fund"),IF(ISNUMBER($G33),$B33*$G33,$D33),$D33))</f>
        <v/>
      </c>
      <c r="Q33" s="15">
        <f>IF(OR($P33="",NOT(ISNUMBER($F33))),"",$P33-$F33)</f>
        <v/>
      </c>
      <c r="R33" s="14">
        <f>IF(OR($Q33="",NOT(ISNUMBER($F33)),$F33=0),"",$Q33/$F33)</f>
        <v/>
      </c>
      <c r="S33" s="14">
        <f>IF(OR($P33="",SUM($P$9:$P$48)=0),"",$P33/SUM($P$9:$P$48))</f>
        <v/>
      </c>
    </row>
    <row r="34">
      <c r="A34" s="9" t="n"/>
      <c r="B34" s="10" t="n"/>
      <c r="C34" s="11" t="n"/>
      <c r="D34" s="11" t="n"/>
      <c r="E34" s="12">
        <f>IF($A34="","",IF(ISNUMBER(SEARCH("CD",$A34)),"CD",IF(UPPER($A34)="CASH","Cash",IF(AND(LEN($A34)=5,RIGHT(UPPER($A34),1)="X"),"Mutual Fund","Equity/ETF"))))</f>
        <v/>
      </c>
      <c r="F34" s="13">
        <f>IF($A34="","",IF($E34="CD",IFERROR($B34*$C34/100,""),IF(AND(ISNUMBER($B34),ISNUMBER($C34)),$B34*$C34,"")))</f>
        <v/>
      </c>
      <c r="G34" s="13">
        <f>IF(OR($A34="",NOT(OR($E34="Equity/ETF",$E34="Mutual Fund"))),"",IFERROR(INDEX(_xlfn.STOCKHISTORY($A34,TODAY()-7,TODAY(),0,0,0,1),ROWS(_xlfn.STOCKHISTORY($A34,TODAY()-7,TODAY(),0,0,0,1)),2),""))</f>
        <v/>
      </c>
      <c r="H34" s="13">
        <f>IF(OR($A34="",NOT(OR($E34="Equity/ETF",$E34="Mutual Fund"))),"",IFERROR(MAX(_xlfn.STOCKHISTORY($A34,TODAY()-365,TODAY(),0,0,3)),""))</f>
        <v/>
      </c>
      <c r="I34" s="14">
        <f>IF(OR($G34="",$H34=""),"",IFERROR(($G34-$H34)/$H34,""))</f>
        <v/>
      </c>
      <c r="J34" s="12">
        <f>IF($I34="","",IF($I34&lt;=-0.2,"Bear",IF($I34&lt;=-0.1,"Correction","Normal")))</f>
        <v/>
      </c>
      <c r="K34" s="13">
        <f>IF(OR($A34="",NOT(OR($E34="Equity/ETF",$E34="Mutual Fund"))),"",IFERROR(AVERAGE(_xlfn.STOCKHISTORY($A34,TODAY()-290,TODAY(),0,0,1)),""))</f>
        <v/>
      </c>
      <c r="L34" s="14">
        <f>IF(OR($G34="",$K34=""),"",IFERROR($G34/$K34-1,""))</f>
        <v/>
      </c>
      <c r="M34" s="13">
        <f>IF(OR($A34="",NOT(OR($E34="Equity/ETF",$E34="Mutual Fund"))),"",IFERROR(AVERAGE(_xlfn.STOCKHISTORY($A34,TODAY()-73,TODAY(),0,0,1)),""))</f>
        <v/>
      </c>
      <c r="N34" s="14">
        <f>IF(OR($G34="",$M34=""),"",IFERROR($G34/$M34-1,""))</f>
        <v/>
      </c>
      <c r="O34" s="12">
        <f>IF(OR($K34="",$M34=""),"",IF($M34&gt;=$K34,"Golden Cross","Death Cross"))</f>
        <v/>
      </c>
      <c r="P34" s="13">
        <f>IF($A34="","",IF(OR($E34="Equity/ETF",$E34="Mutual Fund"),IF(ISNUMBER($G34),$B34*$G34,$D34),$D34))</f>
        <v/>
      </c>
      <c r="Q34" s="15">
        <f>IF(OR($P34="",NOT(ISNUMBER($F34))),"",$P34-$F34)</f>
        <v/>
      </c>
      <c r="R34" s="14">
        <f>IF(OR($Q34="",NOT(ISNUMBER($F34)),$F34=0),"",$Q34/$F34)</f>
        <v/>
      </c>
      <c r="S34" s="14">
        <f>IF(OR($P34="",SUM($P$9:$P$48)=0),"",$P34/SUM($P$9:$P$48))</f>
        <v/>
      </c>
    </row>
    <row r="35">
      <c r="A35" s="9" t="n"/>
      <c r="B35" s="10" t="n"/>
      <c r="C35" s="11" t="n"/>
      <c r="D35" s="11" t="n"/>
      <c r="E35" s="12">
        <f>IF($A35="","",IF(ISNUMBER(SEARCH("CD",$A35)),"CD",IF(UPPER($A35)="CASH","Cash",IF(AND(LEN($A35)=5,RIGHT(UPPER($A35),1)="X"),"Mutual Fund","Equity/ETF"))))</f>
        <v/>
      </c>
      <c r="F35" s="13">
        <f>IF($A35="","",IF($E35="CD",IFERROR($B35*$C35/100,""),IF(AND(ISNUMBER($B35),ISNUMBER($C35)),$B35*$C35,"")))</f>
        <v/>
      </c>
      <c r="G35" s="13">
        <f>IF(OR($A35="",NOT(OR($E35="Equity/ETF",$E35="Mutual Fund"))),"",IFERROR(INDEX(_xlfn.STOCKHISTORY($A35,TODAY()-7,TODAY(),0,0,0,1),ROWS(_xlfn.STOCKHISTORY($A35,TODAY()-7,TODAY(),0,0,0,1)),2),""))</f>
        <v/>
      </c>
      <c r="H35" s="13">
        <f>IF(OR($A35="",NOT(OR($E35="Equity/ETF",$E35="Mutual Fund"))),"",IFERROR(MAX(_xlfn.STOCKHISTORY($A35,TODAY()-365,TODAY(),0,0,3)),""))</f>
        <v/>
      </c>
      <c r="I35" s="14">
        <f>IF(OR($G35="",$H35=""),"",IFERROR(($G35-$H35)/$H35,""))</f>
        <v/>
      </c>
      <c r="J35" s="12">
        <f>IF($I35="","",IF($I35&lt;=-0.2,"Bear",IF($I35&lt;=-0.1,"Correction","Normal")))</f>
        <v/>
      </c>
      <c r="K35" s="13">
        <f>IF(OR($A35="",NOT(OR($E35="Equity/ETF",$E35="Mutual Fund"))),"",IFERROR(AVERAGE(_xlfn.STOCKHISTORY($A35,TODAY()-290,TODAY(),0,0,1)),""))</f>
        <v/>
      </c>
      <c r="L35" s="14">
        <f>IF(OR($G35="",$K35=""),"",IFERROR($G35/$K35-1,""))</f>
        <v/>
      </c>
      <c r="M35" s="13">
        <f>IF(OR($A35="",NOT(OR($E35="Equity/ETF",$E35="Mutual Fund"))),"",IFERROR(AVERAGE(_xlfn.STOCKHISTORY($A35,TODAY()-73,TODAY(),0,0,1)),""))</f>
        <v/>
      </c>
      <c r="N35" s="14">
        <f>IF(OR($G35="",$M35=""),"",IFERROR($G35/$M35-1,""))</f>
        <v/>
      </c>
      <c r="O35" s="12">
        <f>IF(OR($K35="",$M35=""),"",IF($M35&gt;=$K35,"Golden Cross","Death Cross"))</f>
        <v/>
      </c>
      <c r="P35" s="13">
        <f>IF($A35="","",IF(OR($E35="Equity/ETF",$E35="Mutual Fund"),IF(ISNUMBER($G35),$B35*$G35,$D35),$D35))</f>
        <v/>
      </c>
      <c r="Q35" s="15">
        <f>IF(OR($P35="",NOT(ISNUMBER($F35))),"",$P35-$F35)</f>
        <v/>
      </c>
      <c r="R35" s="14">
        <f>IF(OR($Q35="",NOT(ISNUMBER($F35)),$F35=0),"",$Q35/$F35)</f>
        <v/>
      </c>
      <c r="S35" s="14">
        <f>IF(OR($P35="",SUM($P$9:$P$48)=0),"",$P35/SUM($P$9:$P$48))</f>
        <v/>
      </c>
    </row>
    <row r="36">
      <c r="A36" s="9" t="n"/>
      <c r="B36" s="10" t="n"/>
      <c r="C36" s="11" t="n"/>
      <c r="D36" s="11" t="n"/>
      <c r="E36" s="12">
        <f>IF($A36="","",IF(ISNUMBER(SEARCH("CD",$A36)),"CD",IF(UPPER($A36)="CASH","Cash",IF(AND(LEN($A36)=5,RIGHT(UPPER($A36),1)="X"),"Mutual Fund","Equity/ETF"))))</f>
        <v/>
      </c>
      <c r="F36" s="13">
        <f>IF($A36="","",IF($E36="CD",IFERROR($B36*$C36/100,""),IF(AND(ISNUMBER($B36),ISNUMBER($C36)),$B36*$C36,"")))</f>
        <v/>
      </c>
      <c r="G36" s="13">
        <f>IF(OR($A36="",NOT(OR($E36="Equity/ETF",$E36="Mutual Fund"))),"",IFERROR(INDEX(_xlfn.STOCKHISTORY($A36,TODAY()-7,TODAY(),0,0,0,1),ROWS(_xlfn.STOCKHISTORY($A36,TODAY()-7,TODAY(),0,0,0,1)),2),""))</f>
        <v/>
      </c>
      <c r="H36" s="13">
        <f>IF(OR($A36="",NOT(OR($E36="Equity/ETF",$E36="Mutual Fund"))),"",IFERROR(MAX(_xlfn.STOCKHISTORY($A36,TODAY()-365,TODAY(),0,0,3)),""))</f>
        <v/>
      </c>
      <c r="I36" s="14">
        <f>IF(OR($G36="",$H36=""),"",IFERROR(($G36-$H36)/$H36,""))</f>
        <v/>
      </c>
      <c r="J36" s="12">
        <f>IF($I36="","",IF($I36&lt;=-0.2,"Bear",IF($I36&lt;=-0.1,"Correction","Normal")))</f>
        <v/>
      </c>
      <c r="K36" s="13">
        <f>IF(OR($A36="",NOT(OR($E36="Equity/ETF",$E36="Mutual Fund"))),"",IFERROR(AVERAGE(_xlfn.STOCKHISTORY($A36,TODAY()-290,TODAY(),0,0,1)),""))</f>
        <v/>
      </c>
      <c r="L36" s="14">
        <f>IF(OR($G36="",$K36=""),"",IFERROR($G36/$K36-1,""))</f>
        <v/>
      </c>
      <c r="M36" s="13">
        <f>IF(OR($A36="",NOT(OR($E36="Equity/ETF",$E36="Mutual Fund"))),"",IFERROR(AVERAGE(_xlfn.STOCKHISTORY($A36,TODAY()-73,TODAY(),0,0,1)),""))</f>
        <v/>
      </c>
      <c r="N36" s="14">
        <f>IF(OR($G36="",$M36=""),"",IFERROR($G36/$M36-1,""))</f>
        <v/>
      </c>
      <c r="O36" s="12">
        <f>IF(OR($K36="",$M36=""),"",IF($M36&gt;=$K36,"Golden Cross","Death Cross"))</f>
        <v/>
      </c>
      <c r="P36" s="13">
        <f>IF($A36="","",IF(OR($E36="Equity/ETF",$E36="Mutual Fund"),IF(ISNUMBER($G36),$B36*$G36,$D36),$D36))</f>
        <v/>
      </c>
      <c r="Q36" s="15">
        <f>IF(OR($P36="",NOT(ISNUMBER($F36))),"",$P36-$F36)</f>
        <v/>
      </c>
      <c r="R36" s="14">
        <f>IF(OR($Q36="",NOT(ISNUMBER($F36)),$F36=0),"",$Q36/$F36)</f>
        <v/>
      </c>
      <c r="S36" s="14">
        <f>IF(OR($P36="",SUM($P$9:$P$48)=0),"",$P36/SUM($P$9:$P$48))</f>
        <v/>
      </c>
    </row>
    <row r="37">
      <c r="A37" s="9" t="n"/>
      <c r="B37" s="10" t="n"/>
      <c r="C37" s="11" t="n"/>
      <c r="D37" s="11" t="n"/>
      <c r="E37" s="12">
        <f>IF($A37="","",IF(ISNUMBER(SEARCH("CD",$A37)),"CD",IF(UPPER($A37)="CASH","Cash",IF(AND(LEN($A37)=5,RIGHT(UPPER($A37),1)="X"),"Mutual Fund","Equity/ETF"))))</f>
        <v/>
      </c>
      <c r="F37" s="13">
        <f>IF($A37="","",IF($E37="CD",IFERROR($B37*$C37/100,""),IF(AND(ISNUMBER($B37),ISNUMBER($C37)),$B37*$C37,"")))</f>
        <v/>
      </c>
      <c r="G37" s="13">
        <f>IF(OR($A37="",NOT(OR($E37="Equity/ETF",$E37="Mutual Fund"))),"",IFERROR(INDEX(_xlfn.STOCKHISTORY($A37,TODAY()-7,TODAY(),0,0,0,1),ROWS(_xlfn.STOCKHISTORY($A37,TODAY()-7,TODAY(),0,0,0,1)),2),""))</f>
        <v/>
      </c>
      <c r="H37" s="13">
        <f>IF(OR($A37="",NOT(OR($E37="Equity/ETF",$E37="Mutual Fund"))),"",IFERROR(MAX(_xlfn.STOCKHISTORY($A37,TODAY()-365,TODAY(),0,0,3)),""))</f>
        <v/>
      </c>
      <c r="I37" s="14">
        <f>IF(OR($G37="",$H37=""),"",IFERROR(($G37-$H37)/$H37,""))</f>
        <v/>
      </c>
      <c r="J37" s="12">
        <f>IF($I37="","",IF($I37&lt;=-0.2,"Bear",IF($I37&lt;=-0.1,"Correction","Normal")))</f>
        <v/>
      </c>
      <c r="K37" s="13">
        <f>IF(OR($A37="",NOT(OR($E37="Equity/ETF",$E37="Mutual Fund"))),"",IFERROR(AVERAGE(_xlfn.STOCKHISTORY($A37,TODAY()-290,TODAY(),0,0,1)),""))</f>
        <v/>
      </c>
      <c r="L37" s="14">
        <f>IF(OR($G37="",$K37=""),"",IFERROR($G37/$K37-1,""))</f>
        <v/>
      </c>
      <c r="M37" s="13">
        <f>IF(OR($A37="",NOT(OR($E37="Equity/ETF",$E37="Mutual Fund"))),"",IFERROR(AVERAGE(_xlfn.STOCKHISTORY($A37,TODAY()-73,TODAY(),0,0,1)),""))</f>
        <v/>
      </c>
      <c r="N37" s="14">
        <f>IF(OR($G37="",$M37=""),"",IFERROR($G37/$M37-1,""))</f>
        <v/>
      </c>
      <c r="O37" s="12">
        <f>IF(OR($K37="",$M37=""),"",IF($M37&gt;=$K37,"Golden Cross","Death Cross"))</f>
        <v/>
      </c>
      <c r="P37" s="13">
        <f>IF($A37="","",IF(OR($E37="Equity/ETF",$E37="Mutual Fund"),IF(ISNUMBER($G37),$B37*$G37,$D37),$D37))</f>
        <v/>
      </c>
      <c r="Q37" s="15">
        <f>IF(OR($P37="",NOT(ISNUMBER($F37))),"",$P37-$F37)</f>
        <v/>
      </c>
      <c r="R37" s="14">
        <f>IF(OR($Q37="",NOT(ISNUMBER($F37)),$F37=0),"",$Q37/$F37)</f>
        <v/>
      </c>
      <c r="S37" s="14">
        <f>IF(OR($P37="",SUM($P$9:$P$48)=0),"",$P37/SUM($P$9:$P$48))</f>
        <v/>
      </c>
    </row>
    <row r="38">
      <c r="A38" s="9" t="n"/>
      <c r="B38" s="10" t="n"/>
      <c r="C38" s="11" t="n"/>
      <c r="D38" s="11" t="n"/>
      <c r="E38" s="12">
        <f>IF($A38="","",IF(ISNUMBER(SEARCH("CD",$A38)),"CD",IF(UPPER($A38)="CASH","Cash",IF(AND(LEN($A38)=5,RIGHT(UPPER($A38),1)="X"),"Mutual Fund","Equity/ETF"))))</f>
        <v/>
      </c>
      <c r="F38" s="13">
        <f>IF($A38="","",IF($E38="CD",IFERROR($B38*$C38/100,""),IF(AND(ISNUMBER($B38),ISNUMBER($C38)),$B38*$C38,"")))</f>
        <v/>
      </c>
      <c r="G38" s="13">
        <f>IF(OR($A38="",NOT(OR($E38="Equity/ETF",$E38="Mutual Fund"))),"",IFERROR(INDEX(_xlfn.STOCKHISTORY($A38,TODAY()-7,TODAY(),0,0,0,1),ROWS(_xlfn.STOCKHISTORY($A38,TODAY()-7,TODAY(),0,0,0,1)),2),""))</f>
        <v/>
      </c>
      <c r="H38" s="13">
        <f>IF(OR($A38="",NOT(OR($E38="Equity/ETF",$E38="Mutual Fund"))),"",IFERROR(MAX(_xlfn.STOCKHISTORY($A38,TODAY()-365,TODAY(),0,0,3)),""))</f>
        <v/>
      </c>
      <c r="I38" s="14">
        <f>IF(OR($G38="",$H38=""),"",IFERROR(($G38-$H38)/$H38,""))</f>
        <v/>
      </c>
      <c r="J38" s="12">
        <f>IF($I38="","",IF($I38&lt;=-0.2,"Bear",IF($I38&lt;=-0.1,"Correction","Normal")))</f>
        <v/>
      </c>
      <c r="K38" s="13">
        <f>IF(OR($A38="",NOT(OR($E38="Equity/ETF",$E38="Mutual Fund"))),"",IFERROR(AVERAGE(_xlfn.STOCKHISTORY($A38,TODAY()-290,TODAY(),0,0,1)),""))</f>
        <v/>
      </c>
      <c r="L38" s="14">
        <f>IF(OR($G38="",$K38=""),"",IFERROR($G38/$K38-1,""))</f>
        <v/>
      </c>
      <c r="M38" s="13">
        <f>IF(OR($A38="",NOT(OR($E38="Equity/ETF",$E38="Mutual Fund"))),"",IFERROR(AVERAGE(_xlfn.STOCKHISTORY($A38,TODAY()-73,TODAY(),0,0,1)),""))</f>
        <v/>
      </c>
      <c r="N38" s="14">
        <f>IF(OR($G38="",$M38=""),"",IFERROR($G38/$M38-1,""))</f>
        <v/>
      </c>
      <c r="O38" s="12">
        <f>IF(OR($K38="",$M38=""),"",IF($M38&gt;=$K38,"Golden Cross","Death Cross"))</f>
        <v/>
      </c>
      <c r="P38" s="13">
        <f>IF($A38="","",IF(OR($E38="Equity/ETF",$E38="Mutual Fund"),IF(ISNUMBER($G38),$B38*$G38,$D38),$D38))</f>
        <v/>
      </c>
      <c r="Q38" s="15">
        <f>IF(OR($P38="",NOT(ISNUMBER($F38))),"",$P38-$F38)</f>
        <v/>
      </c>
      <c r="R38" s="14">
        <f>IF(OR($Q38="",NOT(ISNUMBER($F38)),$F38=0),"",$Q38/$F38)</f>
        <v/>
      </c>
      <c r="S38" s="14">
        <f>IF(OR($P38="",SUM($P$9:$P$48)=0),"",$P38/SUM($P$9:$P$48))</f>
        <v/>
      </c>
    </row>
    <row r="39">
      <c r="A39" s="9" t="n"/>
      <c r="B39" s="10" t="n"/>
      <c r="C39" s="11" t="n"/>
      <c r="D39" s="11" t="n"/>
      <c r="E39" s="12">
        <f>IF($A39="","",IF(ISNUMBER(SEARCH("CD",$A39)),"CD",IF(UPPER($A39)="CASH","Cash",IF(AND(LEN($A39)=5,RIGHT(UPPER($A39),1)="X"),"Mutual Fund","Equity/ETF"))))</f>
        <v/>
      </c>
      <c r="F39" s="13">
        <f>IF($A39="","",IF($E39="CD",IFERROR($B39*$C39/100,""),IF(AND(ISNUMBER($B39),ISNUMBER($C39)),$B39*$C39,"")))</f>
        <v/>
      </c>
      <c r="G39" s="13">
        <f>IF(OR($A39="",NOT(OR($E39="Equity/ETF",$E39="Mutual Fund"))),"",IFERROR(INDEX(_xlfn.STOCKHISTORY($A39,TODAY()-7,TODAY(),0,0,0,1),ROWS(_xlfn.STOCKHISTORY($A39,TODAY()-7,TODAY(),0,0,0,1)),2),""))</f>
        <v/>
      </c>
      <c r="H39" s="13">
        <f>IF(OR($A39="",NOT(OR($E39="Equity/ETF",$E39="Mutual Fund"))),"",IFERROR(MAX(_xlfn.STOCKHISTORY($A39,TODAY()-365,TODAY(),0,0,3)),""))</f>
        <v/>
      </c>
      <c r="I39" s="14">
        <f>IF(OR($G39="",$H39=""),"",IFERROR(($G39-$H39)/$H39,""))</f>
        <v/>
      </c>
      <c r="J39" s="12">
        <f>IF($I39="","",IF($I39&lt;=-0.2,"Bear",IF($I39&lt;=-0.1,"Correction","Normal")))</f>
        <v/>
      </c>
      <c r="K39" s="13">
        <f>IF(OR($A39="",NOT(OR($E39="Equity/ETF",$E39="Mutual Fund"))),"",IFERROR(AVERAGE(_xlfn.STOCKHISTORY($A39,TODAY()-290,TODAY(),0,0,1)),""))</f>
        <v/>
      </c>
      <c r="L39" s="14">
        <f>IF(OR($G39="",$K39=""),"",IFERROR($G39/$K39-1,""))</f>
        <v/>
      </c>
      <c r="M39" s="13">
        <f>IF(OR($A39="",NOT(OR($E39="Equity/ETF",$E39="Mutual Fund"))),"",IFERROR(AVERAGE(_xlfn.STOCKHISTORY($A39,TODAY()-73,TODAY(),0,0,1)),""))</f>
        <v/>
      </c>
      <c r="N39" s="14">
        <f>IF(OR($G39="",$M39=""),"",IFERROR($G39/$M39-1,""))</f>
        <v/>
      </c>
      <c r="O39" s="12">
        <f>IF(OR($K39="",$M39=""),"",IF($M39&gt;=$K39,"Golden Cross","Death Cross"))</f>
        <v/>
      </c>
      <c r="P39" s="13">
        <f>IF($A39="","",IF(OR($E39="Equity/ETF",$E39="Mutual Fund"),IF(ISNUMBER($G39),$B39*$G39,$D39),$D39))</f>
        <v/>
      </c>
      <c r="Q39" s="15">
        <f>IF(OR($P39="",NOT(ISNUMBER($F39))),"",$P39-$F39)</f>
        <v/>
      </c>
      <c r="R39" s="14">
        <f>IF(OR($Q39="",NOT(ISNUMBER($F39)),$F39=0),"",$Q39/$F39)</f>
        <v/>
      </c>
      <c r="S39" s="14">
        <f>IF(OR($P39="",SUM($P$9:$P$48)=0),"",$P39/SUM($P$9:$P$48))</f>
        <v/>
      </c>
    </row>
    <row r="40">
      <c r="A40" s="9" t="n"/>
      <c r="B40" s="10" t="n"/>
      <c r="C40" s="11" t="n"/>
      <c r="D40" s="11" t="n"/>
      <c r="E40" s="12">
        <f>IF($A40="","",IF(ISNUMBER(SEARCH("CD",$A40)),"CD",IF(UPPER($A40)="CASH","Cash",IF(AND(LEN($A40)=5,RIGHT(UPPER($A40),1)="X"),"Mutual Fund","Equity/ETF"))))</f>
        <v/>
      </c>
      <c r="F40" s="13">
        <f>IF($A40="","",IF($E40="CD",IFERROR($B40*$C40/100,""),IF(AND(ISNUMBER($B40),ISNUMBER($C40)),$B40*$C40,"")))</f>
        <v/>
      </c>
      <c r="G40" s="13">
        <f>IF(OR($A40="",NOT(OR($E40="Equity/ETF",$E40="Mutual Fund"))),"",IFERROR(INDEX(_xlfn.STOCKHISTORY($A40,TODAY()-7,TODAY(),0,0,0,1),ROWS(_xlfn.STOCKHISTORY($A40,TODAY()-7,TODAY(),0,0,0,1)),2),""))</f>
        <v/>
      </c>
      <c r="H40" s="13">
        <f>IF(OR($A40="",NOT(OR($E40="Equity/ETF",$E40="Mutual Fund"))),"",IFERROR(MAX(_xlfn.STOCKHISTORY($A40,TODAY()-365,TODAY(),0,0,3)),""))</f>
        <v/>
      </c>
      <c r="I40" s="14">
        <f>IF(OR($G40="",$H40=""),"",IFERROR(($G40-$H40)/$H40,""))</f>
        <v/>
      </c>
      <c r="J40" s="12">
        <f>IF($I40="","",IF($I40&lt;=-0.2,"Bear",IF($I40&lt;=-0.1,"Correction","Normal")))</f>
        <v/>
      </c>
      <c r="K40" s="13">
        <f>IF(OR($A40="",NOT(OR($E40="Equity/ETF",$E40="Mutual Fund"))),"",IFERROR(AVERAGE(_xlfn.STOCKHISTORY($A40,TODAY()-290,TODAY(),0,0,1)),""))</f>
        <v/>
      </c>
      <c r="L40" s="14">
        <f>IF(OR($G40="",$K40=""),"",IFERROR($G40/$K40-1,""))</f>
        <v/>
      </c>
      <c r="M40" s="13">
        <f>IF(OR($A40="",NOT(OR($E40="Equity/ETF",$E40="Mutual Fund"))),"",IFERROR(AVERAGE(_xlfn.STOCKHISTORY($A40,TODAY()-73,TODAY(),0,0,1)),""))</f>
        <v/>
      </c>
      <c r="N40" s="14">
        <f>IF(OR($G40="",$M40=""),"",IFERROR($G40/$M40-1,""))</f>
        <v/>
      </c>
      <c r="O40" s="12">
        <f>IF(OR($K40="",$M40=""),"",IF($M40&gt;=$K40,"Golden Cross","Death Cross"))</f>
        <v/>
      </c>
      <c r="P40" s="13">
        <f>IF($A40="","",IF(OR($E40="Equity/ETF",$E40="Mutual Fund"),IF(ISNUMBER($G40),$B40*$G40,$D40),$D40))</f>
        <v/>
      </c>
      <c r="Q40" s="15">
        <f>IF(OR($P40="",NOT(ISNUMBER($F40))),"",$P40-$F40)</f>
        <v/>
      </c>
      <c r="R40" s="14">
        <f>IF(OR($Q40="",NOT(ISNUMBER($F40)),$F40=0),"",$Q40/$F40)</f>
        <v/>
      </c>
      <c r="S40" s="14">
        <f>IF(OR($P40="",SUM($P$9:$P$48)=0),"",$P40/SUM($P$9:$P$48))</f>
        <v/>
      </c>
    </row>
    <row r="41">
      <c r="A41" s="9" t="n"/>
      <c r="B41" s="10" t="n"/>
      <c r="C41" s="11" t="n"/>
      <c r="D41" s="11" t="n"/>
      <c r="E41" s="12">
        <f>IF($A41="","",IF(ISNUMBER(SEARCH("CD",$A41)),"CD",IF(UPPER($A41)="CASH","Cash",IF(AND(LEN($A41)=5,RIGHT(UPPER($A41),1)="X"),"Mutual Fund","Equity/ETF"))))</f>
        <v/>
      </c>
      <c r="F41" s="13">
        <f>IF($A41="","",IF($E41="CD",IFERROR($B41*$C41/100,""),IF(AND(ISNUMBER($B41),ISNUMBER($C41)),$B41*$C41,"")))</f>
        <v/>
      </c>
      <c r="G41" s="13">
        <f>IF(OR($A41="",NOT(OR($E41="Equity/ETF",$E41="Mutual Fund"))),"",IFERROR(INDEX(_xlfn.STOCKHISTORY($A41,TODAY()-7,TODAY(),0,0,0,1),ROWS(_xlfn.STOCKHISTORY($A41,TODAY()-7,TODAY(),0,0,0,1)),2),""))</f>
        <v/>
      </c>
      <c r="H41" s="13">
        <f>IF(OR($A41="",NOT(OR($E41="Equity/ETF",$E41="Mutual Fund"))),"",IFERROR(MAX(_xlfn.STOCKHISTORY($A41,TODAY()-365,TODAY(),0,0,3)),""))</f>
        <v/>
      </c>
      <c r="I41" s="14">
        <f>IF(OR($G41="",$H41=""),"",IFERROR(($G41-$H41)/$H41,""))</f>
        <v/>
      </c>
      <c r="J41" s="12">
        <f>IF($I41="","",IF($I41&lt;=-0.2,"Bear",IF($I41&lt;=-0.1,"Correction","Normal")))</f>
        <v/>
      </c>
      <c r="K41" s="13">
        <f>IF(OR($A41="",NOT(OR($E41="Equity/ETF",$E41="Mutual Fund"))),"",IFERROR(AVERAGE(_xlfn.STOCKHISTORY($A41,TODAY()-290,TODAY(),0,0,1)),""))</f>
        <v/>
      </c>
      <c r="L41" s="14">
        <f>IF(OR($G41="",$K41=""),"",IFERROR($G41/$K41-1,""))</f>
        <v/>
      </c>
      <c r="M41" s="13">
        <f>IF(OR($A41="",NOT(OR($E41="Equity/ETF",$E41="Mutual Fund"))),"",IFERROR(AVERAGE(_xlfn.STOCKHISTORY($A41,TODAY()-73,TODAY(),0,0,1)),""))</f>
        <v/>
      </c>
      <c r="N41" s="14">
        <f>IF(OR($G41="",$M41=""),"",IFERROR($G41/$M41-1,""))</f>
        <v/>
      </c>
      <c r="O41" s="12">
        <f>IF(OR($K41="",$M41=""),"",IF($M41&gt;=$K41,"Golden Cross","Death Cross"))</f>
        <v/>
      </c>
      <c r="P41" s="13">
        <f>IF($A41="","",IF(OR($E41="Equity/ETF",$E41="Mutual Fund"),IF(ISNUMBER($G41),$B41*$G41,$D41),$D41))</f>
        <v/>
      </c>
      <c r="Q41" s="15">
        <f>IF(OR($P41="",NOT(ISNUMBER($F41))),"",$P41-$F41)</f>
        <v/>
      </c>
      <c r="R41" s="14">
        <f>IF(OR($Q41="",NOT(ISNUMBER($F41)),$F41=0),"",$Q41/$F41)</f>
        <v/>
      </c>
      <c r="S41" s="14">
        <f>IF(OR($P41="",SUM($P$9:$P$48)=0),"",$P41/SUM($P$9:$P$48))</f>
        <v/>
      </c>
    </row>
    <row r="42">
      <c r="A42" s="9" t="n"/>
      <c r="B42" s="10" t="n"/>
      <c r="C42" s="11" t="n"/>
      <c r="D42" s="11" t="n"/>
      <c r="E42" s="12">
        <f>IF($A42="","",IF(ISNUMBER(SEARCH("CD",$A42)),"CD",IF(UPPER($A42)="CASH","Cash",IF(AND(LEN($A42)=5,RIGHT(UPPER($A42),1)="X"),"Mutual Fund","Equity/ETF"))))</f>
        <v/>
      </c>
      <c r="F42" s="13">
        <f>IF($A42="","",IF($E42="CD",IFERROR($B42*$C42/100,""),IF(AND(ISNUMBER($B42),ISNUMBER($C42)),$B42*$C42,"")))</f>
        <v/>
      </c>
      <c r="G42" s="13">
        <f>IF(OR($A42="",NOT(OR($E42="Equity/ETF",$E42="Mutual Fund"))),"",IFERROR(INDEX(_xlfn.STOCKHISTORY($A42,TODAY()-7,TODAY(),0,0,0,1),ROWS(_xlfn.STOCKHISTORY($A42,TODAY()-7,TODAY(),0,0,0,1)),2),""))</f>
        <v/>
      </c>
      <c r="H42" s="13">
        <f>IF(OR($A42="",NOT(OR($E42="Equity/ETF",$E42="Mutual Fund"))),"",IFERROR(MAX(_xlfn.STOCKHISTORY($A42,TODAY()-365,TODAY(),0,0,3)),""))</f>
        <v/>
      </c>
      <c r="I42" s="14">
        <f>IF(OR($G42="",$H42=""),"",IFERROR(($G42-$H42)/$H42,""))</f>
        <v/>
      </c>
      <c r="J42" s="12">
        <f>IF($I42="","",IF($I42&lt;=-0.2,"Bear",IF($I42&lt;=-0.1,"Correction","Normal")))</f>
        <v/>
      </c>
      <c r="K42" s="13">
        <f>IF(OR($A42="",NOT(OR($E42="Equity/ETF",$E42="Mutual Fund"))),"",IFERROR(AVERAGE(_xlfn.STOCKHISTORY($A42,TODAY()-290,TODAY(),0,0,1)),""))</f>
        <v/>
      </c>
      <c r="L42" s="14">
        <f>IF(OR($G42="",$K42=""),"",IFERROR($G42/$K42-1,""))</f>
        <v/>
      </c>
      <c r="M42" s="13">
        <f>IF(OR($A42="",NOT(OR($E42="Equity/ETF",$E42="Mutual Fund"))),"",IFERROR(AVERAGE(_xlfn.STOCKHISTORY($A42,TODAY()-73,TODAY(),0,0,1)),""))</f>
        <v/>
      </c>
      <c r="N42" s="14">
        <f>IF(OR($G42="",$M42=""),"",IFERROR($G42/$M42-1,""))</f>
        <v/>
      </c>
      <c r="O42" s="12">
        <f>IF(OR($K42="",$M42=""),"",IF($M42&gt;=$K42,"Golden Cross","Death Cross"))</f>
        <v/>
      </c>
      <c r="P42" s="13">
        <f>IF($A42="","",IF(OR($E42="Equity/ETF",$E42="Mutual Fund"),IF(ISNUMBER($G42),$B42*$G42,$D42),$D42))</f>
        <v/>
      </c>
      <c r="Q42" s="15">
        <f>IF(OR($P42="",NOT(ISNUMBER($F42))),"",$P42-$F42)</f>
        <v/>
      </c>
      <c r="R42" s="14">
        <f>IF(OR($Q42="",NOT(ISNUMBER($F42)),$F42=0),"",$Q42/$F42)</f>
        <v/>
      </c>
      <c r="S42" s="14">
        <f>IF(OR($P42="",SUM($P$9:$P$48)=0),"",$P42/SUM($P$9:$P$48))</f>
        <v/>
      </c>
    </row>
    <row r="43">
      <c r="A43" s="9" t="n"/>
      <c r="B43" s="10" t="n"/>
      <c r="C43" s="11" t="n"/>
      <c r="D43" s="11" t="n"/>
      <c r="E43" s="12">
        <f>IF($A43="","",IF(ISNUMBER(SEARCH("CD",$A43)),"CD",IF(UPPER($A43)="CASH","Cash",IF(AND(LEN($A43)=5,RIGHT(UPPER($A43),1)="X"),"Mutual Fund","Equity/ETF"))))</f>
        <v/>
      </c>
      <c r="F43" s="13">
        <f>IF($A43="","",IF($E43="CD",IFERROR($B43*$C43/100,""),IF(AND(ISNUMBER($B43),ISNUMBER($C43)),$B43*$C43,"")))</f>
        <v/>
      </c>
      <c r="G43" s="13">
        <f>IF(OR($A43="",NOT(OR($E43="Equity/ETF",$E43="Mutual Fund"))),"",IFERROR(INDEX(_xlfn.STOCKHISTORY($A43,TODAY()-7,TODAY(),0,0,0,1),ROWS(_xlfn.STOCKHISTORY($A43,TODAY()-7,TODAY(),0,0,0,1)),2),""))</f>
        <v/>
      </c>
      <c r="H43" s="13">
        <f>IF(OR($A43="",NOT(OR($E43="Equity/ETF",$E43="Mutual Fund"))),"",IFERROR(MAX(_xlfn.STOCKHISTORY($A43,TODAY()-365,TODAY(),0,0,3)),""))</f>
        <v/>
      </c>
      <c r="I43" s="14">
        <f>IF(OR($G43="",$H43=""),"",IFERROR(($G43-$H43)/$H43,""))</f>
        <v/>
      </c>
      <c r="J43" s="12">
        <f>IF($I43="","",IF($I43&lt;=-0.2,"Bear",IF($I43&lt;=-0.1,"Correction","Normal")))</f>
        <v/>
      </c>
      <c r="K43" s="13">
        <f>IF(OR($A43="",NOT(OR($E43="Equity/ETF",$E43="Mutual Fund"))),"",IFERROR(AVERAGE(_xlfn.STOCKHISTORY($A43,TODAY()-290,TODAY(),0,0,1)),""))</f>
        <v/>
      </c>
      <c r="L43" s="14">
        <f>IF(OR($G43="",$K43=""),"",IFERROR($G43/$K43-1,""))</f>
        <v/>
      </c>
      <c r="M43" s="13">
        <f>IF(OR($A43="",NOT(OR($E43="Equity/ETF",$E43="Mutual Fund"))),"",IFERROR(AVERAGE(_xlfn.STOCKHISTORY($A43,TODAY()-73,TODAY(),0,0,1)),""))</f>
        <v/>
      </c>
      <c r="N43" s="14">
        <f>IF(OR($G43="",$M43=""),"",IFERROR($G43/$M43-1,""))</f>
        <v/>
      </c>
      <c r="O43" s="12">
        <f>IF(OR($K43="",$M43=""),"",IF($M43&gt;=$K43,"Golden Cross","Death Cross"))</f>
        <v/>
      </c>
      <c r="P43" s="13">
        <f>IF($A43="","",IF(OR($E43="Equity/ETF",$E43="Mutual Fund"),IF(ISNUMBER($G43),$B43*$G43,$D43),$D43))</f>
        <v/>
      </c>
      <c r="Q43" s="15">
        <f>IF(OR($P43="",NOT(ISNUMBER($F43))),"",$P43-$F43)</f>
        <v/>
      </c>
      <c r="R43" s="14">
        <f>IF(OR($Q43="",NOT(ISNUMBER($F43)),$F43=0),"",$Q43/$F43)</f>
        <v/>
      </c>
      <c r="S43" s="14">
        <f>IF(OR($P43="",SUM($P$9:$P$48)=0),"",$P43/SUM($P$9:$P$48))</f>
        <v/>
      </c>
    </row>
    <row r="44">
      <c r="A44" s="9" t="n"/>
      <c r="B44" s="10" t="n"/>
      <c r="C44" s="11" t="n"/>
      <c r="D44" s="11" t="n"/>
      <c r="E44" s="12">
        <f>IF($A44="","",IF(ISNUMBER(SEARCH("CD",$A44)),"CD",IF(UPPER($A44)="CASH","Cash",IF(AND(LEN($A44)=5,RIGHT(UPPER($A44),1)="X"),"Mutual Fund","Equity/ETF"))))</f>
        <v/>
      </c>
      <c r="F44" s="13">
        <f>IF($A44="","",IF($E44="CD",IFERROR($B44*$C44/100,""),IF(AND(ISNUMBER($B44),ISNUMBER($C44)),$B44*$C44,"")))</f>
        <v/>
      </c>
      <c r="G44" s="13">
        <f>IF(OR($A44="",NOT(OR($E44="Equity/ETF",$E44="Mutual Fund"))),"",IFERROR(INDEX(_xlfn.STOCKHISTORY($A44,TODAY()-7,TODAY(),0,0,0,1),ROWS(_xlfn.STOCKHISTORY($A44,TODAY()-7,TODAY(),0,0,0,1)),2),""))</f>
        <v/>
      </c>
      <c r="H44" s="13">
        <f>IF(OR($A44="",NOT(OR($E44="Equity/ETF",$E44="Mutual Fund"))),"",IFERROR(MAX(_xlfn.STOCKHISTORY($A44,TODAY()-365,TODAY(),0,0,3)),""))</f>
        <v/>
      </c>
      <c r="I44" s="14">
        <f>IF(OR($G44="",$H44=""),"",IFERROR(($G44-$H44)/$H44,""))</f>
        <v/>
      </c>
      <c r="J44" s="12">
        <f>IF($I44="","",IF($I44&lt;=-0.2,"Bear",IF($I44&lt;=-0.1,"Correction","Normal")))</f>
        <v/>
      </c>
      <c r="K44" s="13">
        <f>IF(OR($A44="",NOT(OR($E44="Equity/ETF",$E44="Mutual Fund"))),"",IFERROR(AVERAGE(_xlfn.STOCKHISTORY($A44,TODAY()-290,TODAY(),0,0,1)),""))</f>
        <v/>
      </c>
      <c r="L44" s="14">
        <f>IF(OR($G44="",$K44=""),"",IFERROR($G44/$K44-1,""))</f>
        <v/>
      </c>
      <c r="M44" s="13">
        <f>IF(OR($A44="",NOT(OR($E44="Equity/ETF",$E44="Mutual Fund"))),"",IFERROR(AVERAGE(_xlfn.STOCKHISTORY($A44,TODAY()-73,TODAY(),0,0,1)),""))</f>
        <v/>
      </c>
      <c r="N44" s="14">
        <f>IF(OR($G44="",$M44=""),"",IFERROR($G44/$M44-1,""))</f>
        <v/>
      </c>
      <c r="O44" s="12">
        <f>IF(OR($K44="",$M44=""),"",IF($M44&gt;=$K44,"Golden Cross","Death Cross"))</f>
        <v/>
      </c>
      <c r="P44" s="13">
        <f>IF($A44="","",IF(OR($E44="Equity/ETF",$E44="Mutual Fund"),IF(ISNUMBER($G44),$B44*$G44,$D44),$D44))</f>
        <v/>
      </c>
      <c r="Q44" s="15">
        <f>IF(OR($P44="",NOT(ISNUMBER($F44))),"",$P44-$F44)</f>
        <v/>
      </c>
      <c r="R44" s="14">
        <f>IF(OR($Q44="",NOT(ISNUMBER($F44)),$F44=0),"",$Q44/$F44)</f>
        <v/>
      </c>
      <c r="S44" s="14">
        <f>IF(OR($P44="",SUM($P$9:$P$48)=0),"",$P44/SUM($P$9:$P$48))</f>
        <v/>
      </c>
    </row>
    <row r="45">
      <c r="A45" s="9" t="n"/>
      <c r="B45" s="10" t="n"/>
      <c r="C45" s="11" t="n"/>
      <c r="D45" s="11" t="n"/>
      <c r="E45" s="12">
        <f>IF($A45="","",IF(ISNUMBER(SEARCH("CD",$A45)),"CD",IF(UPPER($A45)="CASH","Cash",IF(AND(LEN($A45)=5,RIGHT(UPPER($A45),1)="X"),"Mutual Fund","Equity/ETF"))))</f>
        <v/>
      </c>
      <c r="F45" s="13">
        <f>IF($A45="","",IF($E45="CD",IFERROR($B45*$C45/100,""),IF(AND(ISNUMBER($B45),ISNUMBER($C45)),$B45*$C45,"")))</f>
        <v/>
      </c>
      <c r="G45" s="13">
        <f>IF(OR($A45="",NOT(OR($E45="Equity/ETF",$E45="Mutual Fund"))),"",IFERROR(INDEX(_xlfn.STOCKHISTORY($A45,TODAY()-7,TODAY(),0,0,0,1),ROWS(_xlfn.STOCKHISTORY($A45,TODAY()-7,TODAY(),0,0,0,1)),2),""))</f>
        <v/>
      </c>
      <c r="H45" s="13">
        <f>IF(OR($A45="",NOT(OR($E45="Equity/ETF",$E45="Mutual Fund"))),"",IFERROR(MAX(_xlfn.STOCKHISTORY($A45,TODAY()-365,TODAY(),0,0,3)),""))</f>
        <v/>
      </c>
      <c r="I45" s="14">
        <f>IF(OR($G45="",$H45=""),"",IFERROR(($G45-$H45)/$H45,""))</f>
        <v/>
      </c>
      <c r="J45" s="12">
        <f>IF($I45="","",IF($I45&lt;=-0.2,"Bear",IF($I45&lt;=-0.1,"Correction","Normal")))</f>
        <v/>
      </c>
      <c r="K45" s="13">
        <f>IF(OR($A45="",NOT(OR($E45="Equity/ETF",$E45="Mutual Fund"))),"",IFERROR(AVERAGE(_xlfn.STOCKHISTORY($A45,TODAY()-290,TODAY(),0,0,1)),""))</f>
        <v/>
      </c>
      <c r="L45" s="14">
        <f>IF(OR($G45="",$K45=""),"",IFERROR($G45/$K45-1,""))</f>
        <v/>
      </c>
      <c r="M45" s="13">
        <f>IF(OR($A45="",NOT(OR($E45="Equity/ETF",$E45="Mutual Fund"))),"",IFERROR(AVERAGE(_xlfn.STOCKHISTORY($A45,TODAY()-73,TODAY(),0,0,1)),""))</f>
        <v/>
      </c>
      <c r="N45" s="14">
        <f>IF(OR($G45="",$M45=""),"",IFERROR($G45/$M45-1,""))</f>
        <v/>
      </c>
      <c r="O45" s="12">
        <f>IF(OR($K45="",$M45=""),"",IF($M45&gt;=$K45,"Golden Cross","Death Cross"))</f>
        <v/>
      </c>
      <c r="P45" s="13">
        <f>IF($A45="","",IF(OR($E45="Equity/ETF",$E45="Mutual Fund"),IF(ISNUMBER($G45),$B45*$G45,$D45),$D45))</f>
        <v/>
      </c>
      <c r="Q45" s="15">
        <f>IF(OR($P45="",NOT(ISNUMBER($F45))),"",$P45-$F45)</f>
        <v/>
      </c>
      <c r="R45" s="14">
        <f>IF(OR($Q45="",NOT(ISNUMBER($F45)),$F45=0),"",$Q45/$F45)</f>
        <v/>
      </c>
      <c r="S45" s="14">
        <f>IF(OR($P45="",SUM($P$9:$P$48)=0),"",$P45/SUM($P$9:$P$48))</f>
        <v/>
      </c>
    </row>
    <row r="46">
      <c r="A46" s="9" t="n"/>
      <c r="B46" s="10" t="n"/>
      <c r="C46" s="11" t="n"/>
      <c r="D46" s="11" t="n"/>
      <c r="E46" s="12">
        <f>IF($A46="","",IF(ISNUMBER(SEARCH("CD",$A46)),"CD",IF(UPPER($A46)="CASH","Cash",IF(AND(LEN($A46)=5,RIGHT(UPPER($A46),1)="X"),"Mutual Fund","Equity/ETF"))))</f>
        <v/>
      </c>
      <c r="F46" s="13">
        <f>IF($A46="","",IF($E46="CD",IFERROR($B46*$C46/100,""),IF(AND(ISNUMBER($B46),ISNUMBER($C46)),$B46*$C46,"")))</f>
        <v/>
      </c>
      <c r="G46" s="13">
        <f>IF(OR($A46="",NOT(OR($E46="Equity/ETF",$E46="Mutual Fund"))),"",IFERROR(INDEX(_xlfn.STOCKHISTORY($A46,TODAY()-7,TODAY(),0,0,0,1),ROWS(_xlfn.STOCKHISTORY($A46,TODAY()-7,TODAY(),0,0,0,1)),2),""))</f>
        <v/>
      </c>
      <c r="H46" s="13">
        <f>IF(OR($A46="",NOT(OR($E46="Equity/ETF",$E46="Mutual Fund"))),"",IFERROR(MAX(_xlfn.STOCKHISTORY($A46,TODAY()-365,TODAY(),0,0,3)),""))</f>
        <v/>
      </c>
      <c r="I46" s="14">
        <f>IF(OR($G46="",$H46=""),"",IFERROR(($G46-$H46)/$H46,""))</f>
        <v/>
      </c>
      <c r="J46" s="12">
        <f>IF($I46="","",IF($I46&lt;=-0.2,"Bear",IF($I46&lt;=-0.1,"Correction","Normal")))</f>
        <v/>
      </c>
      <c r="K46" s="13">
        <f>IF(OR($A46="",NOT(OR($E46="Equity/ETF",$E46="Mutual Fund"))),"",IFERROR(AVERAGE(_xlfn.STOCKHISTORY($A46,TODAY()-290,TODAY(),0,0,1)),""))</f>
        <v/>
      </c>
      <c r="L46" s="14">
        <f>IF(OR($G46="",$K46=""),"",IFERROR($G46/$K46-1,""))</f>
        <v/>
      </c>
      <c r="M46" s="13">
        <f>IF(OR($A46="",NOT(OR($E46="Equity/ETF",$E46="Mutual Fund"))),"",IFERROR(AVERAGE(_xlfn.STOCKHISTORY($A46,TODAY()-73,TODAY(),0,0,1)),""))</f>
        <v/>
      </c>
      <c r="N46" s="14">
        <f>IF(OR($G46="",$M46=""),"",IFERROR($G46/$M46-1,""))</f>
        <v/>
      </c>
      <c r="O46" s="12">
        <f>IF(OR($K46="",$M46=""),"",IF($M46&gt;=$K46,"Golden Cross","Death Cross"))</f>
        <v/>
      </c>
      <c r="P46" s="13">
        <f>IF($A46="","",IF(OR($E46="Equity/ETF",$E46="Mutual Fund"),IF(ISNUMBER($G46),$B46*$G46,$D46),$D46))</f>
        <v/>
      </c>
      <c r="Q46" s="15">
        <f>IF(OR($P46="",NOT(ISNUMBER($F46))),"",$P46-$F46)</f>
        <v/>
      </c>
      <c r="R46" s="14">
        <f>IF(OR($Q46="",NOT(ISNUMBER($F46)),$F46=0),"",$Q46/$F46)</f>
        <v/>
      </c>
      <c r="S46" s="14">
        <f>IF(OR($P46="",SUM($P$9:$P$48)=0),"",$P46/SUM($P$9:$P$48))</f>
        <v/>
      </c>
    </row>
    <row r="47">
      <c r="A47" s="9" t="n"/>
      <c r="B47" s="10" t="n"/>
      <c r="C47" s="11" t="n"/>
      <c r="D47" s="11" t="n"/>
      <c r="E47" s="12">
        <f>IF($A47="","",IF(ISNUMBER(SEARCH("CD",$A47)),"CD",IF(UPPER($A47)="CASH","Cash",IF(AND(LEN($A47)=5,RIGHT(UPPER($A47),1)="X"),"Mutual Fund","Equity/ETF"))))</f>
        <v/>
      </c>
      <c r="F47" s="13">
        <f>IF($A47="","",IF($E47="CD",IFERROR($B47*$C47/100,""),IF(AND(ISNUMBER($B47),ISNUMBER($C47)),$B47*$C47,"")))</f>
        <v/>
      </c>
      <c r="G47" s="13">
        <f>IF(OR($A47="",NOT(OR($E47="Equity/ETF",$E47="Mutual Fund"))),"",IFERROR(INDEX(_xlfn.STOCKHISTORY($A47,TODAY()-7,TODAY(),0,0,0,1),ROWS(_xlfn.STOCKHISTORY($A47,TODAY()-7,TODAY(),0,0,0,1)),2),""))</f>
        <v/>
      </c>
      <c r="H47" s="13">
        <f>IF(OR($A47="",NOT(OR($E47="Equity/ETF",$E47="Mutual Fund"))),"",IFERROR(MAX(_xlfn.STOCKHISTORY($A47,TODAY()-365,TODAY(),0,0,3)),""))</f>
        <v/>
      </c>
      <c r="I47" s="14">
        <f>IF(OR($G47="",$H47=""),"",IFERROR(($G47-$H47)/$H47,""))</f>
        <v/>
      </c>
      <c r="J47" s="12">
        <f>IF($I47="","",IF($I47&lt;=-0.2,"Bear",IF($I47&lt;=-0.1,"Correction","Normal")))</f>
        <v/>
      </c>
      <c r="K47" s="13">
        <f>IF(OR($A47="",NOT(OR($E47="Equity/ETF",$E47="Mutual Fund"))),"",IFERROR(AVERAGE(_xlfn.STOCKHISTORY($A47,TODAY()-290,TODAY(),0,0,1)),""))</f>
        <v/>
      </c>
      <c r="L47" s="14">
        <f>IF(OR($G47="",$K47=""),"",IFERROR($G47/$K47-1,""))</f>
        <v/>
      </c>
      <c r="M47" s="13">
        <f>IF(OR($A47="",NOT(OR($E47="Equity/ETF",$E47="Mutual Fund"))),"",IFERROR(AVERAGE(_xlfn.STOCKHISTORY($A47,TODAY()-73,TODAY(),0,0,1)),""))</f>
        <v/>
      </c>
      <c r="N47" s="14">
        <f>IF(OR($G47="",$M47=""),"",IFERROR($G47/$M47-1,""))</f>
        <v/>
      </c>
      <c r="O47" s="12">
        <f>IF(OR($K47="",$M47=""),"",IF($M47&gt;=$K47,"Golden Cross","Death Cross"))</f>
        <v/>
      </c>
      <c r="P47" s="13">
        <f>IF($A47="","",IF(OR($E47="Equity/ETF",$E47="Mutual Fund"),IF(ISNUMBER($G47),$B47*$G47,$D47),$D47))</f>
        <v/>
      </c>
      <c r="Q47" s="15">
        <f>IF(OR($P47="",NOT(ISNUMBER($F47))),"",$P47-$F47)</f>
        <v/>
      </c>
      <c r="R47" s="14">
        <f>IF(OR($Q47="",NOT(ISNUMBER($F47)),$F47=0),"",$Q47/$F47)</f>
        <v/>
      </c>
      <c r="S47" s="14">
        <f>IF(OR($P47="",SUM($P$9:$P$48)=0),"",$P47/SUM($P$9:$P$48))</f>
        <v/>
      </c>
    </row>
    <row r="48">
      <c r="A48" s="9" t="n"/>
      <c r="B48" s="10" t="n"/>
      <c r="C48" s="11" t="n"/>
      <c r="D48" s="11" t="n"/>
      <c r="E48" s="12">
        <f>IF($A48="","",IF(ISNUMBER(SEARCH("CD",$A48)),"CD",IF(UPPER($A48)="CASH","Cash",IF(AND(LEN($A48)=5,RIGHT(UPPER($A48),1)="X"),"Mutual Fund","Equity/ETF"))))</f>
        <v/>
      </c>
      <c r="F48" s="13">
        <f>IF($A48="","",IF($E48="CD",IFERROR($B48*$C48/100,""),IF(AND(ISNUMBER($B48),ISNUMBER($C48)),$B48*$C48,"")))</f>
        <v/>
      </c>
      <c r="G48" s="13">
        <f>IF(OR($A48="",NOT(OR($E48="Equity/ETF",$E48="Mutual Fund"))),"",IFERROR(INDEX(_xlfn.STOCKHISTORY($A48,TODAY()-7,TODAY(),0,0,0,1),ROWS(_xlfn.STOCKHISTORY($A48,TODAY()-7,TODAY(),0,0,0,1)),2),""))</f>
        <v/>
      </c>
      <c r="H48" s="13">
        <f>IF(OR($A48="",NOT(OR($E48="Equity/ETF",$E48="Mutual Fund"))),"",IFERROR(MAX(_xlfn.STOCKHISTORY($A48,TODAY()-365,TODAY(),0,0,3)),""))</f>
        <v/>
      </c>
      <c r="I48" s="14">
        <f>IF(OR($G48="",$H48=""),"",IFERROR(($G48-$H48)/$H48,""))</f>
        <v/>
      </c>
      <c r="J48" s="12">
        <f>IF($I48="","",IF($I48&lt;=-0.2,"Bear",IF($I48&lt;=-0.1,"Correction","Normal")))</f>
        <v/>
      </c>
      <c r="K48" s="13">
        <f>IF(OR($A48="",NOT(OR($E48="Equity/ETF",$E48="Mutual Fund"))),"",IFERROR(AVERAGE(_xlfn.STOCKHISTORY($A48,TODAY()-290,TODAY(),0,0,1)),""))</f>
        <v/>
      </c>
      <c r="L48" s="14">
        <f>IF(OR($G48="",$K48=""),"",IFERROR($G48/$K48-1,""))</f>
        <v/>
      </c>
      <c r="M48" s="13">
        <f>IF(OR($A48="",NOT(OR($E48="Equity/ETF",$E48="Mutual Fund"))),"",IFERROR(AVERAGE(_xlfn.STOCKHISTORY($A48,TODAY()-73,TODAY(),0,0,1)),""))</f>
        <v/>
      </c>
      <c r="N48" s="14">
        <f>IF(OR($G48="",$M48=""),"",IFERROR($G48/$M48-1,""))</f>
        <v/>
      </c>
      <c r="O48" s="12">
        <f>IF(OR($K48="",$M48=""),"",IF($M48&gt;=$K48,"Golden Cross","Death Cross"))</f>
        <v/>
      </c>
      <c r="P48" s="13">
        <f>IF($A48="","",IF(OR($E48="Equity/ETF",$E48="Mutual Fund"),IF(ISNUMBER($G48),$B48*$G48,$D48),$D48))</f>
        <v/>
      </c>
      <c r="Q48" s="15">
        <f>IF(OR($P48="",NOT(ISNUMBER($F48))),"",$P48-$F48)</f>
        <v/>
      </c>
      <c r="R48" s="14">
        <f>IF(OR($Q48="",NOT(ISNUMBER($F48)),$F48=0),"",$Q48/$F48)</f>
        <v/>
      </c>
      <c r="S48" s="14">
        <f>IF(OR($P48="",SUM($P$9:$P$48)=0),"",$P48/SUM($P$9:$P$48))</f>
        <v/>
      </c>
    </row>
  </sheetData>
  <mergeCells count="2">
    <mergeCell ref="A2:S2"/>
    <mergeCell ref="A1:S1"/>
  </mergeCells>
  <conditionalFormatting sqref="J9:J48">
    <cfRule type="cellIs" priority="1" operator="equal" dxfId="0">
      <formula>"Bear"</formula>
    </cfRule>
    <cfRule type="cellIs" priority="2" operator="equal" dxfId="1">
      <formula>"Correction"</formula>
    </cfRule>
    <cfRule type="cellIs" priority="3" operator="equal" dxfId="2">
      <formula>"Normal"</formula>
    </cfRule>
  </conditionalFormatting>
  <conditionalFormatting sqref="O9:O48">
    <cfRule type="cellIs" priority="4" operator="equal" dxfId="2">
      <formula>"Golden Cross"</formula>
    </cfRule>
    <cfRule type="cellIs" priority="5" operator="equal" dxfId="0">
      <formula>"Death Cross"</formula>
    </cfRule>
  </conditionalFormatting>
  <conditionalFormatting sqref="Q9:R48">
    <cfRule type="cellIs" priority="6" operator="lessThan" dxfId="3">
      <formula>0</formula>
    </cfRule>
    <cfRule type="cellIs" priority="7" operator="greaterThan" dxfId="4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2026-08-28T16:06:59Z</dcterms:created>
  <dcterms:modified xmlns:dcterms="http://purl.org/dc/terms/" xmlns:xsi="http://www.w3.org/2001/XMLSchema-instance" xsi:type="dcterms:W3CDTF">2026-08-28T16:06:59Z</dcterms:modified>
</cp:coreProperties>
</file>